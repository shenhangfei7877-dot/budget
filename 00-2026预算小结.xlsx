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575"/>
  </bookViews>
  <sheets>
    <sheet name="预算小结" sheetId="1" r:id="rId1"/>
    <sheet name="预算小结 (2)" sheetId="4" state="hidden" r:id="rId2"/>
    <sheet name="WpsReserved_CellImgList" sheetId="3" state="veryHidden"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s>
  <definedNames>
    <definedName name="_xlnm._FilterDatabase" localSheetId="0" hidden="1">预算小结!$A$13:$BI$76</definedName>
    <definedName name="\A">'[1]Intercompany Detail'!#REF!</definedName>
    <definedName name="\Z">'[1]Intercompany Detail'!#REF!</definedName>
    <definedName name="_">#REF!</definedName>
    <definedName name="_.dbf">#REF!</definedName>
    <definedName name="______________________________________h1">{#N/A,#N/A,TRUE,"GRAND TOTAL";#N/A,#N/A,TRUE,"SAM'S";#N/A,#N/A,TRUE,"SUPERCENTER";#N/A,#N/A,TRUE,"MEXICO";#N/A,#N/A,TRUE,"FOOD";#N/A,#N/A,TRUE,"TOTAL WITHOUT CIFRA TAB"}</definedName>
    <definedName name="_____________________________________h1">{#N/A,#N/A,TRUE,"GRAND TOTAL";#N/A,#N/A,TRUE,"SAM'S";#N/A,#N/A,TRUE,"SUPERCENTER";#N/A,#N/A,TRUE,"MEXICO";#N/A,#N/A,TRUE,"FOOD";#N/A,#N/A,TRUE,"TOTAL WITHOUT CIFRA TAB"}</definedName>
    <definedName name="___________________________________h1">{#N/A,#N/A,TRUE,"GRAND TOTAL";#N/A,#N/A,TRUE,"SAM'S";#N/A,#N/A,TRUE,"SUPERCENTER";#N/A,#N/A,TRUE,"MEXICO";#N/A,#N/A,TRUE,"FOOD";#N/A,#N/A,TRUE,"TOTAL WITHOUT CIFRA TAB"}</definedName>
    <definedName name="__________________________________h1">{#N/A,#N/A,TRUE,"GRAND TOTAL";#N/A,#N/A,TRUE,"SAM'S";#N/A,#N/A,TRUE,"SUPERCENTER";#N/A,#N/A,TRUE,"MEXICO";#N/A,#N/A,TRUE,"FOOD";#N/A,#N/A,TRUE,"TOTAL WITHOUT CIFRA TAB"}</definedName>
    <definedName name="_________________________________h1">{#N/A,#N/A,TRUE,"GRAND TOTAL";#N/A,#N/A,TRUE,"SAM'S";#N/A,#N/A,TRUE,"SUPERCENTER";#N/A,#N/A,TRUE,"MEXICO";#N/A,#N/A,TRUE,"FOOD";#N/A,#N/A,TRUE,"TOTAL WITHOUT CIFRA TAB"}</definedName>
    <definedName name="________________________________h1">{#N/A,#N/A,TRUE,"GRAND TOTAL";#N/A,#N/A,TRUE,"SAM'S";#N/A,#N/A,TRUE,"SUPERCENTER";#N/A,#N/A,TRUE,"MEXICO";#N/A,#N/A,TRUE,"FOOD";#N/A,#N/A,TRUE,"TOTAL WITHOUT CIFRA TAB"}</definedName>
    <definedName name="____________________________h1">{#N/A,#N/A,TRUE,"GRAND TOTAL";#N/A,#N/A,TRUE,"SAM'S";#N/A,#N/A,TRUE,"SUPERCENTER";#N/A,#N/A,TRUE,"MEXICO";#N/A,#N/A,TRUE,"FOOD";#N/A,#N/A,TRUE,"TOTAL WITHOUT CIFRA TAB"}</definedName>
    <definedName name="_________________________u600">{"toptrial",#N/A,TRUE,"toptrial";"adjustment",#N/A,TRUE,"toptrial";"voucher",#N/A,TRUE,"toptrial"}</definedName>
    <definedName name="________________________u600">{"toptrial",#N/A,TRUE,"toptrial";"adjustment",#N/A,TRUE,"toptrial";"voucher",#N/A,TRUE,"toptrial"}</definedName>
    <definedName name="_______________________u600">{"toptrial",#N/A,TRUE,"toptrial";"adjustment",#N/A,TRUE,"toptrial";"voucher",#N/A,TRUE,"toptrial"}</definedName>
    <definedName name="______________________h1">{#N/A,#N/A,TRUE,"GRAND TOTAL";#N/A,#N/A,TRUE,"SAM'S";#N/A,#N/A,TRUE,"SUPERCENTER";#N/A,#N/A,TRUE,"MEXICO";#N/A,#N/A,TRUE,"FOOD";#N/A,#N/A,TRUE,"TOTAL WITHOUT CIFRA TAB"}</definedName>
    <definedName name="______________________u600">{"toptrial",#N/A,TRUE,"toptrial";"adjustment",#N/A,TRUE,"toptrial";"voucher",#N/A,TRUE,"toptrial"}</definedName>
    <definedName name="_____________________o1">{"det (May)",#N/A,FALSE,"June";"sum (MAY YTD)",#N/A,FALSE,"June YTD"}</definedName>
    <definedName name="____________________u600">{"toptrial",#N/A,TRUE,"toptrial";"adjustment",#N/A,TRUE,"toptrial";"voucher",#N/A,TRUE,"toptrial"}</definedName>
    <definedName name="___________________o1">{"det (May)",#N/A,FALSE,"June";"sum (MAY YTD)",#N/A,FALSE,"June YTD"}</definedName>
    <definedName name="___________________u600">{"toptrial",#N/A,TRUE,"toptrial";"adjustment",#N/A,TRUE,"toptrial";"voucher",#N/A,TRUE,"toptrial"}</definedName>
    <definedName name="__________________u600">{"toptrial",#N/A,TRUE,"toptrial";"adjustment",#N/A,TRUE,"toptrial";"voucher",#N/A,TRUE,"toptrial"}</definedName>
    <definedName name="_________________h1">{#N/A,#N/A,TRUE,"GRAND TOTAL";#N/A,#N/A,TRUE,"SAM'S";#N/A,#N/A,TRUE,"SUPERCENTER";#N/A,#N/A,TRUE,"MEXICO";#N/A,#N/A,TRUE,"FOOD";#N/A,#N/A,TRUE,"TOTAL WITHOUT CIFRA TAB"}</definedName>
    <definedName name="_________________o1">{"det (May)",#N/A,FALSE,"June";"sum (MAY YTD)",#N/A,FALSE,"June YTD"}</definedName>
    <definedName name="_________________u600">{"toptrial",#N/A,TRUE,"toptrial";"adjustment",#N/A,TRUE,"toptrial";"voucher",#N/A,TRUE,"toptrial"}</definedName>
    <definedName name="________________u600">{"toptrial",#N/A,TRUE,"toptrial";"adjustment",#N/A,TRUE,"toptrial";"voucher",#N/A,TRUE,"toptrial"}</definedName>
    <definedName name="_______________h1">{#N/A,#N/A,TRUE,"GRAND TOTAL";#N/A,#N/A,TRUE,"SAM'S";#N/A,#N/A,TRUE,"SUPERCENTER";#N/A,#N/A,TRUE,"MEXICO";#N/A,#N/A,TRUE,"FOOD";#N/A,#N/A,TRUE,"TOTAL WITHOUT CIFRA TAB"}</definedName>
    <definedName name="_______________o1">{"det (May)",#N/A,FALSE,"June";"sum (MAY YTD)",#N/A,FALSE,"June YTD"}</definedName>
    <definedName name="______________u600">{"toptrial",#N/A,TRUE,"toptrial";"adjustment",#N/A,TRUE,"toptrial";"voucher",#N/A,TRUE,"toptrial"}</definedName>
    <definedName name="_____________h1">{#N/A,#N/A,TRUE,"GRAND TOTAL";#N/A,#N/A,TRUE,"SAM'S";#N/A,#N/A,TRUE,"SUPERCENTER";#N/A,#N/A,TRUE,"MEXICO";#N/A,#N/A,TRUE,"FOOD";#N/A,#N/A,TRUE,"TOTAL WITHOUT CIFRA TAB"}</definedName>
    <definedName name="_____________o1">{"det (May)",#N/A,FALSE,"June";"sum (MAY YTD)",#N/A,FALSE,"June YTD"}</definedName>
    <definedName name="____________u600">{"toptrial",#N/A,TRUE,"toptrial";"adjustment",#N/A,TRUE,"toptrial";"voucher",#N/A,TRUE,"toptrial"}</definedName>
    <definedName name="___________h1">{#N/A,#N/A,TRUE,"GRAND TOTAL";#N/A,#N/A,TRUE,"SAM'S";#N/A,#N/A,TRUE,"SUPERCENTER";#N/A,#N/A,TRUE,"MEXICO";#N/A,#N/A,TRUE,"FOOD";#N/A,#N/A,TRUE,"TOTAL WITHOUT CIFRA TAB"}</definedName>
    <definedName name="___________u600">{"toptrial",#N/A,TRUE,"toptrial";"adjustment",#N/A,TRUE,"toptrial";"voucher",#N/A,TRUE,"toptrial"}</definedName>
    <definedName name="_________h1">{#N/A,#N/A,TRUE,"GRAND TOTAL";#N/A,#N/A,TRUE,"SAM'S";#N/A,#N/A,TRUE,"SUPERCENTER";#N/A,#N/A,TRUE,"MEXICO";#N/A,#N/A,TRUE,"FOOD";#N/A,#N/A,TRUE,"TOTAL WITHOUT CIFRA TAB"}</definedName>
    <definedName name="_________u600">{"toptrial",#N/A,TRUE,"toptrial";"adjustment",#N/A,TRUE,"toptrial";"voucher",#N/A,TRUE,"toptrial"}</definedName>
    <definedName name="________o1">{"det (May)",#N/A,FALSE,"June";"sum (MAY YTD)",#N/A,FALSE,"June YTD"}</definedName>
    <definedName name="_______o1">{"det (May)",#N/A,FALSE,"June";"sum (MAY YTD)",#N/A,FALSE,"June YTD"}</definedName>
    <definedName name="_______u600">{"toptrial",#N/A,TRUE,"toptrial";"adjustment",#N/A,TRUE,"toptrial";"voucher",#N/A,TRUE,"toptrial"}</definedName>
    <definedName name="______h1">{#N/A,#N/A,TRUE,"GRAND TOTAL";#N/A,#N/A,TRUE,"SAM'S";#N/A,#N/A,TRUE,"SUPERCENTER";#N/A,#N/A,TRUE,"MEXICO";#N/A,#N/A,TRUE,"FOOD";#N/A,#N/A,TRUE,"TOTAL WITHOUT CIFRA TAB"}</definedName>
    <definedName name="______o1">{"det (May)",#N/A,FALSE,"June";"sum (MAY YTD)",#N/A,FALSE,"June YTD"}</definedName>
    <definedName name="_____h1">{#N/A,#N/A,TRUE,"GRAND TOTAL";#N/A,#N/A,TRUE,"SAM'S";#N/A,#N/A,TRUE,"SUPERCENTER";#N/A,#N/A,TRUE,"MEXICO";#N/A,#N/A,TRUE,"FOOD";#N/A,#N/A,TRUE,"TOTAL WITHOUT CIFRA TAB"}</definedName>
    <definedName name="_____o1">{"det (May)",#N/A,FALSE,"June";"sum (MAY YTD)",#N/A,FALSE,"June YTD"}</definedName>
    <definedName name="_____u600">{"toptrial",#N/A,TRUE,"toptrial";"adjustment",#N/A,TRUE,"toptrial";"voucher",#N/A,TRUE,"toptrial"}</definedName>
    <definedName name="____o1">{"det (May)",#N/A,FALSE,"June";"sum (MAY YTD)",#N/A,FALSE,"June YTD"}</definedName>
    <definedName name="___h1">{#N/A,#N/A,TRUE,"GRAND TOTAL";#N/A,#N/A,TRUE,"SAM'S";#N/A,#N/A,TRUE,"SUPERCENTER";#N/A,#N/A,TRUE,"MEXICO";#N/A,#N/A,TRUE,"FOOD";#N/A,#N/A,TRUE,"TOTAL WITHOUT CIFRA TAB"}</definedName>
    <definedName name="___iu8">{"资产",#N/A,FALSE,"TB-BS"}</definedName>
    <definedName name="___MKJ8">{"资产",#N/A,FALSE,"TB-BS"}</definedName>
    <definedName name="___o1">{"det (May)",#N/A,FALSE,"June";"sum (MAY YTD)",#N/A,FALSE,"June YTD"}</definedName>
    <definedName name="___O9">{"现金主表",#N/A,FALSE,"正式Cashflow"}</definedName>
    <definedName name="___RT6">{"负债及权益",#N/A,FALSE,"TB-BS"}</definedName>
    <definedName name="___T6">{"资产",#N/A,FALSE,"TB-BS"}</definedName>
    <definedName name="___u600">{"toptrial",#N/A,TRUE,"toptrial";"adjustment",#N/A,TRUE,"toptrial";"voucher",#N/A,TRUE,"toptrial"}</definedName>
    <definedName name="___X2">{"负债及权益",#N/A,FALSE,"TB-BS"}</definedName>
    <definedName name="___Y6">{"资产",#N/A,FALSE,"TB-BS"}</definedName>
    <definedName name="___Z1">{"现金主表",#N/A,FALSE,"正式Cashflow"}</definedName>
    <definedName name="__123Graph_A">#REF!</definedName>
    <definedName name="__123Graph_B">'[2]3.2'!#REF!</definedName>
    <definedName name="__123Graph_X">#REF!</definedName>
    <definedName name="__FDS_HYPERLINK_TOGGLE_STATE__">"ON"</definedName>
    <definedName name="__FDS_UNIQUE_RANGE_ID_GENERATOR_COUNTER">1</definedName>
    <definedName name="__h1">{#N/A,#N/A,TRUE,"GRAND TOTAL";#N/A,#N/A,TRUE,"SAM'S";#N/A,#N/A,TRUE,"SUPERCENTER";#N/A,#N/A,TRUE,"MEXICO";#N/A,#N/A,TRUE,"FOOD";#N/A,#N/A,TRUE,"TOTAL WITHOUT CIFRA TAB"}</definedName>
    <definedName name="__iu8">{"资产",#N/A,FALSE,"TB-BS"}</definedName>
    <definedName name="__MKJ8">{"资产",#N/A,FALSE,"TB-BS"}</definedName>
    <definedName name="__o1">{"det (May)",#N/A,FALSE,"June";"sum (MAY YTD)",#N/A,FALSE,"June YTD"}</definedName>
    <definedName name="__O9">{"现金主表",#N/A,FALSE,"正式Cashflow"}</definedName>
    <definedName name="__RT6">{"负债及权益",#N/A,FALSE,"TB-BS"}</definedName>
    <definedName name="__T6">{"资产",#N/A,FALSE,"TB-BS"}</definedName>
    <definedName name="__X2">{"负债及权益",#N/A,FALSE,"TB-BS"}</definedName>
    <definedName name="__Y6">{"资产",#N/A,FALSE,"TB-BS"}</definedName>
    <definedName name="__Z1">{"现金主表",#N/A,FALSE,"正式Cashflow"}</definedName>
    <definedName name="_13">#REF!</definedName>
    <definedName name="_130508">#REF!</definedName>
    <definedName name="_132__123Graph_ACHART_2">#REF!</definedName>
    <definedName name="_165__123Graph_LBL_ACHART_1">#REF!</definedName>
    <definedName name="_16A2_">'[3]#REF'!$C$169:$C$199</definedName>
    <definedName name="_16wrn.²Ä1­Ó¤ë1_Ü20¤H.">{#N/A,#N/A,FALSE,"²Ä1­Ó¤ë"}</definedName>
    <definedName name="_198__123Graph_LBL_ACHART_2">#REF!</definedName>
    <definedName name="_1余额表_一级_.dbf">#REF!</definedName>
    <definedName name="_231__123Graph_XCHART_1">#REF!</definedName>
    <definedName name="_264__123Graph_XCHART_2">#REF!</definedName>
    <definedName name="_33_">#REF!</definedName>
    <definedName name="_41">LIST:[4]DIV!$A$6:$O$38</definedName>
    <definedName name="_58F0">+'[5]Sheet1 (2)'!A1048546+'[5]Sheet1 (2)'!A1048547+'[5]Sheet1 (2)'!A1048548+'[5]Sheet1 (2)'!A1048549+'[5]Sheet1 (2)'!A1048550+'[5]Sheet1 (2)'!A1048551+'[5]Sheet1 (2)'!A1048552+'[5]Sheet1 (2)'!A1048553+'[5]Sheet1 (2)'!A1048554+'[5]Sheet1 (2)'!A1048555+'[5]Sheet1 (2)'!A1048556+'[5]Sheet1 (2)'!A1048557+'[5]Sheet1 (2)'!A1048558+'[5]Sheet1 (2)'!A1048559+'[5]Sheet1 (2)'!A1048560+'[5]Sheet1 (2)'!A1048561+'[5]Sheet1 (2)'!A1048562+'[5]Sheet1 (2)'!A1048563+'[5]Sheet1 (2)'!A1048564+'[5]Sheet1 (2)'!A1048565+'[5]Sheet1 (2)'!A1048566+'[5]Sheet1 (2)'!A1048567+'[5]Sheet1 (2)'!A1048568+'[5]Sheet1 (2)'!A1048569+'[5]Sheet1 (2)'!A1048570+'[5]Sheet1 (2)'!A1048571+'[5]Sheet1 (2)'!A1048572+'[5]Sheet1 (2)'!A1048573</definedName>
    <definedName name="_59f5_">'[6]#REF'!$B$810</definedName>
    <definedName name="_64k1_">'[6]#REF'!$C$169:$C$199</definedName>
    <definedName name="_66UN">#REF!</definedName>
    <definedName name="_6华峰">#REF!</definedName>
    <definedName name="_7华峰6">#REF!</definedName>
    <definedName name="_9530">+'[5]Sheet1 (2)'!A1048525+'[5]Sheet1 (2)'!A1048526+'[5]Sheet1 (2)'!A1048527+'[5]Sheet1 (2)'!A1048528+'[5]Sheet1 (2)'!A1048529+'[5]Sheet1 (2)'!A1048530+'[5]Sheet1 (2)'!A1048531+'[5]Sheet1 (2)'!A1048532+'[5]Sheet1 (2)'!A1048533+'[5]Sheet1 (2)'!A1048534+'[5]Sheet1 (2)'!A1048535+'[5]Sheet1 (2)'!A1048536+'[5]Sheet1 (2)'!A1048537+'[5]Sheet1 (2)'!A1048538+'[5]Sheet1 (2)'!A1048539+'[5]Sheet1 (2)'!A1048540+'[5]Sheet1 (2)'!A1048541+'[5]Sheet1 (2)'!A1048542+'[5]Sheet1 (2)'!A1048543+'[5]Sheet1 (2)'!A1048544+'[5]Sheet1 (2)'!A1048545+'[5]Sheet1 (2)'!A1048546+'[5]Sheet1 (2)'!A1048547+'[5]Sheet1 (2)'!A1048548+'[5]Sheet1 (2)'!A1048549+'[5]Sheet1 (2)'!A1048550+'[5]Sheet1 (2)'!A1048551+'[5]Sheet1 (2)'!A1048552</definedName>
    <definedName name="_99__123Graph_ACHART_1">#REF!</definedName>
    <definedName name="_9u600_">{"toptrial",#N/A,TRUE,"toptrial";"adjustment",#N/A,TRUE,"toptrial";"voucher",#N/A,TRUE,"toptrial"}</definedName>
    <definedName name="_A1">#REF!</definedName>
    <definedName name="_A65600">#REF!</definedName>
    <definedName name="_A66000">#REF!</definedName>
    <definedName name="_A75000">#REF!</definedName>
    <definedName name="_asd1">{#N/A,#N/A,FALSE,"Aging Summary";#N/A,#N/A,FALSE,"Ratio Analysis";#N/A,#N/A,FALSE,"Test 120 Day Accts";#N/A,#N/A,FALSE,"Tickmarks"}</definedName>
    <definedName name="_bj12">{#N/A,#N/A,FALSE,"목차";#N/A,#N/A,FALSE,"요약손익";#N/A,#N/A,FALSE,"월별손익";#N/A,#N/A,FALSE,"요약대차";#N/A,#N/A,FALSE,"대차대조표";#N/A,#N/A,FALSE,"요약CASH";#N/A,#N/A,FALSE,"자금운용표";#N/A,#N/A,FALSE,"판매요약";#N/A,#N/A,FALSE,"탐별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_col1">#REF!</definedName>
    <definedName name="_col2">#REF!</definedName>
    <definedName name="_col3">#REF!</definedName>
    <definedName name="_D53111">#REF!</definedName>
    <definedName name="_D53113">#REF!</definedName>
    <definedName name="_D536R">#REF!</definedName>
    <definedName name="_DAT1">#REF!</definedName>
    <definedName name="_DAT2">#REF!</definedName>
    <definedName name="_DAT3">#REF!</definedName>
    <definedName name="_DAT4">#REF!</definedName>
    <definedName name="_DAT5">#REF!</definedName>
    <definedName name="_h1">{#N/A,#N/A,TRUE,"GRAND TOTAL";#N/A,#N/A,TRUE,"SAM'S";#N/A,#N/A,TRUE,"SUPERCENTER";#N/A,#N/A,TRUE,"MEXICO";#N/A,#N/A,TRUE,"FOOD";#N/A,#N/A,TRUE,"TOTAL WITHOUT CIFRA TAB"}</definedName>
    <definedName name="_iu8">{"资产",#N/A,FALSE,"TB-BS"}</definedName>
    <definedName name="_KeP1">#REF!</definedName>
    <definedName name="_KeP10">#REF!</definedName>
    <definedName name="_KeP11">#REF!</definedName>
    <definedName name="_KeP12">#REF!</definedName>
    <definedName name="_KeP13">#REF!</definedName>
    <definedName name="_KeP14">#REF!</definedName>
    <definedName name="_KeP15">#REF!</definedName>
    <definedName name="_KeP16">#REF!</definedName>
    <definedName name="_KeP17">#REF!</definedName>
    <definedName name="_KeP18">#REF!</definedName>
    <definedName name="_KeP19">#REF!</definedName>
    <definedName name="_KeP2">#REF!</definedName>
    <definedName name="_KeP20">#REF!</definedName>
    <definedName name="_KeP21">#REF!</definedName>
    <definedName name="_KeP22">#REF!</definedName>
    <definedName name="_KeP23">#REF!</definedName>
    <definedName name="_KeP24">#REF!</definedName>
    <definedName name="_KeP25">#REF!</definedName>
    <definedName name="_KeP26">#REF!</definedName>
    <definedName name="_KeP27">#REF!</definedName>
    <definedName name="_KeP28">#REF!</definedName>
    <definedName name="_KeP29">#REF!</definedName>
    <definedName name="_KeP3">#REF!</definedName>
    <definedName name="_KeP30">#REF!</definedName>
    <definedName name="_KeP31">#REF!</definedName>
    <definedName name="_KeP32">#REF!</definedName>
    <definedName name="_KeP33">#REF!</definedName>
    <definedName name="_KeP34">#REF!</definedName>
    <definedName name="_KeP35">#REF!</definedName>
    <definedName name="_KeP36">#REF!</definedName>
    <definedName name="_KeP37">#REF!</definedName>
    <definedName name="_KeP38">#REF!</definedName>
    <definedName name="_KeP39">#REF!</definedName>
    <definedName name="_KeP4">#REF!</definedName>
    <definedName name="_KeP40">#REF!</definedName>
    <definedName name="_KeP41">#REF!</definedName>
    <definedName name="_KeP42">#REF!</definedName>
    <definedName name="_KeP43">#REF!</definedName>
    <definedName name="_KeP44">#REF!</definedName>
    <definedName name="_KeP45">#REF!</definedName>
    <definedName name="_KeP46">#REF!</definedName>
    <definedName name="_KeP47">#REF!</definedName>
    <definedName name="_KeP48">#REF!</definedName>
    <definedName name="_KeP49">#REF!</definedName>
    <definedName name="_KeP5">#REF!</definedName>
    <definedName name="_KeP50">#REF!</definedName>
    <definedName name="_KeP51">#REF!</definedName>
    <definedName name="_KeP52">#REF!</definedName>
    <definedName name="_KeP53">#REF!</definedName>
    <definedName name="_KeP54">#REF!</definedName>
    <definedName name="_KeP55">#REF!</definedName>
    <definedName name="_KeP56">#REF!</definedName>
    <definedName name="_KeP57">#REF!</definedName>
    <definedName name="_KeP58">#REF!</definedName>
    <definedName name="_KeP59">#REF!</definedName>
    <definedName name="_KeP6">#REF!</definedName>
    <definedName name="_KeP60">#REF!</definedName>
    <definedName name="_KeP61">#REF!</definedName>
    <definedName name="_KeP62">#REF!</definedName>
    <definedName name="_KeP63">#REF!</definedName>
    <definedName name="_KeP64">#REF!</definedName>
    <definedName name="_KeP65">#REF!</definedName>
    <definedName name="_KeP66">#REF!</definedName>
    <definedName name="_KeP67">#REF!</definedName>
    <definedName name="_KeP68">#REF!</definedName>
    <definedName name="_KeP7">#REF!</definedName>
    <definedName name="_KeP8">#REF!</definedName>
    <definedName name="_KeP9">#REF!</definedName>
    <definedName name="_key07">'[7]2007 key'!$A$26:$K$31</definedName>
    <definedName name="_Key1">#REF!</definedName>
    <definedName name="_Key2">#REF!</definedName>
    <definedName name="_LinkPic_37248C7B3E124066B287771A302E1C81">'[8]average price'!$A$2:$C$14</definedName>
    <definedName name="_LinkPic_475A41B23F8C467F86010210B21E5B4B">'[8]05年预售率'!$J$54</definedName>
    <definedName name="_LinkPic_54F4C4D08A3849E3ACB68735C6A69B59">'[8]05年预售率'!$H$41:$I$61</definedName>
    <definedName name="_LinkPic_55685CE3DB214FBCA36C229AC2B53A5F">'[9]company operations'!$N$22</definedName>
    <definedName name="_LinkPic_5AE27CE1EA194B7E832D79E4D6C5F500">'[8]average price'!$B$2:$C$14</definedName>
    <definedName name="_LinkPic_9C96745DAFF347DF99F7FD42DC5A12C3">'[8]2006年宏观调控对绿城的影响'!$A$21:$H$26</definedName>
    <definedName name="_LinkPic_A9A5B9F7B9204F1F8DEAA14267FF4D7B">'[8]05年预售率'!$H$41:$Q$50</definedName>
    <definedName name="_LinkPic_B0371C0C610B4337A172E08CD9201342">[9]hangzhou2!$A$42:$D$52</definedName>
    <definedName name="_MKJ8">{"资产",#N/A,FALSE,"TB-BS"}</definedName>
    <definedName name="_o1">{"det (May)",#N/A,FALSE,"June";"sum (MAY YTD)",#N/A,FALSE,"June YTD"}</definedName>
    <definedName name="_O9">{"现金主表",#N/A,FALSE,"正式Cashflow"}</definedName>
    <definedName name="_Order1">255</definedName>
    <definedName name="_Order2">255</definedName>
    <definedName name="_Regression_Int">1</definedName>
    <definedName name="_Regression_Out">#REF!</definedName>
    <definedName name="_Regression_X">#REF!</definedName>
    <definedName name="_Regression_Y">#REF!</definedName>
    <definedName name="_RT6">{"负债及权益",#N/A,FALSE,"TB-BS"}</definedName>
    <definedName name="_Sort">#REF!</definedName>
    <definedName name="_T6">{"资产",#N/A,FALSE,"TB-BS"}</definedName>
    <definedName name="_Table2_In1">#REF!</definedName>
    <definedName name="_Table2_In2">#REF!</definedName>
    <definedName name="_Table2_Out">#REF!</definedName>
    <definedName name="_Table3_In2">#REF!</definedName>
    <definedName name="_u600">{"toptrial",#N/A,TRUE,"toptrial";"adjustment",#N/A,TRUE,"toptrial";"voucher",#N/A,TRUE,"toptrial"}</definedName>
    <definedName name="_X2">{"负债及权益",#N/A,FALSE,"TB-BS"}</definedName>
    <definedName name="_Y6">{"资产",#N/A,FALSE,"TB-BS"}</definedName>
    <definedName name="_YS1">#REF!</definedName>
    <definedName name="_Z1">{"现金主表",#N/A,FALSE,"正式Cashflow"}</definedName>
    <definedName name="µ±Ç°Ã÷Ï¸ÕË">[10]dklx!$A$1:$I$98</definedName>
    <definedName name="a">#REF!</definedName>
    <definedName name="A.???">{"det (May)",#N/A,FALSE,"June";"sum (MAY YTD)",#N/A,FALSE,"June YTD"}</definedName>
    <definedName name="aa">[11]Notes!$D$3</definedName>
    <definedName name="aaa">[12]Data!$B$116:$AL$119</definedName>
    <definedName name="AAA_DOCTOPS">"AAA_SET"</definedName>
    <definedName name="AAA_duser">"OFF"</definedName>
    <definedName name="AAB_Addin5">"AAB_Description for addin 5,Description for addin 5,Description for addin 5,Description for addin 5,Description for addin 5,Description for addin 5"</definedName>
    <definedName name="aaz">{#N/A,#N/A,FALSE,"资产负债表";#N/A,#N/A,FALSE,"资产负债表"}</definedName>
    <definedName name="abc">[13]明细分类账!$A$1:$J$467</definedName>
    <definedName name="abc.xls">{"toptrial",#N/A,TRUE,"toptrial";"adjustment",#N/A,TRUE,"toptrial";"voucher",#N/A,TRUE,"toptrial"}</definedName>
    <definedName name="abdefc.xls">{"toptrial",#N/A,TRUE,"toptrial";"adjustment",#N/A,TRUE,"toptrial";"voucher",#N/A,TRUE,"toptrial"}</definedName>
    <definedName name="Acc._Depre.">'[14]Y+1 FA SBU%'!$M$3:$M$63</definedName>
    <definedName name="ACCOUNT">'[15]Natural Account'!$O$6:$O$1309</definedName>
    <definedName name="Account_name">'[16]Dropdown list'!$A$9:$A$116</definedName>
    <definedName name="Accrual">[17]Criteria!$G$25:$G$26</definedName>
    <definedName name="acct_list">[18]List!$A$2:$A$35</definedName>
    <definedName name="Accueil">[19]Parametres!$A$1:$A$3</definedName>
    <definedName name="ACdata">[20]ACdata!$C$4:$O$238</definedName>
    <definedName name="ada">{#N/A,#N/A,FALSE,"资产负债表";#N/A,#N/A,FALSE,"资产负债表"}</definedName>
    <definedName name="adaf">{#N/A,#N/A,FALSE,"资产负债表";#N/A,#N/A,FALSE,"资产负债表"}</definedName>
    <definedName name="Adam">{#N/A,#N/A,FALSE,"Aging Summary";#N/A,#N/A,FALSE,"Ratio Analysis";#N/A,#N/A,FALSE,"Test 120 Day Accts";#N/A,#N/A,FALSE,"Tickmarks"}</definedName>
    <definedName name="adas">{"M1Print",#N/A,TRUE,"M1";"M2Print",#N/A,TRUE,"M2";"M1sPrint",#N/A,TRUE,"M1s";"M2aPrint",#N/A,TRUE,"M2a";"M4Print",#N/A,TRUE,"M4";"M5Print",#N/A,TRUE,"M5";"M6Print",#N/A,TRUE,"M6";"M6_1Print",#N/A,TRUE,"M6_1";"M6_2Print",#N/A,TRUE,"M6_2";"M7_1Print",#N/A,TRUE,"M7_1";"M7_2Print",#N/A,TRUE,"M7_2"}</definedName>
    <definedName name="adf">{"toptrial",#N/A,TRUE,"toptrial";"adjustment",#N/A,TRUE,"toptrial";"voucher",#N/A,TRUE,"toptrial"}</definedName>
    <definedName name="adfasfasadfasfasfasfasdf">{#N/A,#N/A,FALSE,"TB";#N/A,#N/A,FALSE,"CONTENTS";#N/A,#N/A,FALSE,"DR";#N/A,#N/A,FALSE,"AR";#N/A,#N/A,FALSE,"BS";#N/A,#N/A,FALSE,"PL";#N/A,#N/A,FALSE,"NOTES";#N/A,#N/A,FALSE,"NOTES (2)";#N/A,#N/A,FALSE,"NOTES (3)";#N/A,#N/A,FALSE,"DPL";#N/A,#N/A,FALSE,"DPL"}</definedName>
    <definedName name="adsfdsaf">{#N/A,#N/A,FALSE,"TB";#N/A,#N/A,FALSE,"CONTENTS";#N/A,#N/A,FALSE,"DR";#N/A,#N/A,FALSE,"AR";#N/A,#N/A,FALSE,"BS";#N/A,#N/A,FALSE,"PL";#N/A,#N/A,FALSE,"NOTES";#N/A,#N/A,FALSE,"NOTES (2)";#N/A,#N/A,FALSE,"NOTES (3)";#N/A,#N/A,FALSE,"DPL";#N/A,#N/A,FALSE,"DPL"}</definedName>
    <definedName name="AdvfroCustomer">[17]Criteria!$C$25:$C$26</definedName>
    <definedName name="AdvtoSupplier">[17]Criteria!$G$17:$G$18</definedName>
    <definedName name="Affiliation">#REF!</definedName>
    <definedName name="afhai">{#N/A,#N/A,FALSE,"资产负债表";#N/A,#N/A,FALSE,"资产负债表"}</definedName>
    <definedName name="age">{"BRAZIL SALES",#N/A,FALSE,"BRAZ SLS"}</definedName>
    <definedName name="AGEDDATABASE">{#N/A,#N/A,FALSE,"970301";#N/A,#N/A,FALSE,"970302";#N/A,#N/A,FALSE,"970303";#N/A,#N/A,FALSE,"970304";#N/A,#N/A,FALSE,"COM1";#N/A,#N/A,FALSE,"COM2"}</definedName>
    <definedName name="aidhaif">{#N/A,#N/A,FALSE,"资产负债表";#N/A,#N/A,FALSE,"资产负债表"}</definedName>
    <definedName name="Ajust">[21]BaseAjust!$D:$AI</definedName>
    <definedName name="anakf">{#N/A,#N/A,FALSE,"资产负债表";#N/A,#N/A,FALSE,"资产负债表"}</definedName>
    <definedName name="anscount">1</definedName>
    <definedName name="Août">'[22]Flash 2001'!#REF!,'[22]Flash 2001'!#REF!</definedName>
    <definedName name="appl">[23]Fin_Dashboard!$D$5</definedName>
    <definedName name="AR">{#N/A,#N/A,FALSE,"TB";#N/A,#N/A,FALSE,"AR";#N/A,#N/A,FALSE,"BS";#N/A,#N/A,FALSE,"PL";#N/A,#N/A,FALSE,"NOTES";#N/A,#N/A,FALSE,"NOTES (2)";#N/A,#N/A,FALSE,"NOTES (3)";#N/A,#N/A,FALSE,"TAXC.INDEX";#N/A,#N/A,FALSE,"Schedule I";#N/A,#N/A,FALSE,"DPL";#N/A,#N/A,FALSE,"Schedule IV";#N/A,#N/A,FALSE,"Adjustments"}</definedName>
    <definedName name="AS2DocOpenMode">"AS2DocumentEdit"</definedName>
    <definedName name="AS2HasNoAutoHeaderFooter">" "</definedName>
    <definedName name="AS2NamedRange">17</definedName>
    <definedName name="AS2ReportLS">1</definedName>
    <definedName name="AS2SyncStepLS">0</definedName>
    <definedName name="AS2VersionLS">300</definedName>
    <definedName name="AS2WebLink1">'[24]SH Reconciliation'!#REF!</definedName>
    <definedName name="asd">{#N/A,#N/A,FALSE,"Aging Summary";#N/A,#N/A,FALSE,"Ratio Analysis";#N/A,#N/A,FALSE,"Test 120 Day Accts";#N/A,#N/A,FALSE,"Tickmarks"}</definedName>
    <definedName name="asdfdghf1gh1">{#N/A,#N/A,FALSE,"CONTENTS";#N/A,#N/A,FALSE,"DR";#N/A,#N/A,FALSE,"PL";#N/A,#N/A,FALSE,"BS";#N/A,#N/A,FALSE,"Cash Flow";#N/A,#N/A,FALSE,"NOTES";#N/A,#N/A,FALSE,"NOTES (FA)";#N/A,#N/A,FALSE,"Notes(3)";#N/A,#N/A,FALSE,"NOTES (4)";#N/A,#N/A,FALSE,"DP&amp;L";#N/A,#N/A,FALSE,"EXPENSES";#N/A,#N/A,FALSE,"EXPENSES-1"}</definedName>
    <definedName name="asdg">{#N/A,#N/A,FALSE,"资产负债表";#N/A,#N/A,FALSE,"资产负债表"}</definedName>
    <definedName name="asf">{#N/A,#N/A,FALSE,"资产负债表";#N/A,#N/A,FALSE,"资产负债表"}</definedName>
    <definedName name="assss">{"FIX ASSETS PAGE 1",#N/A,TRUE,"FIXED ASSETS";"FIX ASSETS PAGE 2",#N/A,TRUE,"FIXED ASSETS";"FIX ASSETS PAGE 3",#N/A,TRUE,"FIXED ASSETS";"FIX ASSETS PAGE 4",#N/A,TRUE,"FIXED ASSETS";"FIX ASSETS PAGE 5",#N/A,TRUE,"FIXED ASSETS";"FIX ASSETS PAGE 6",#N/A,TRUE,"FIXED ASSETS";"FIX ASSETS PAGE 7",#N/A,TRUE,"FIXED ASSETS"}</definedName>
    <definedName name="AuraStyleDefaultsReset">#N/A</definedName>
    <definedName name="Average_2015Q3">[25]Rate!$K$7</definedName>
    <definedName name="average2016112">[26]FXRate!$G$11</definedName>
    <definedName name="average2017Q13">[26]FXRate!$H$16</definedName>
    <definedName name="averageQ13">[26]FXRate!$H$11</definedName>
    <definedName name="Avril">'[22]Flash 2001'!#REF!,'[22]Flash 2001'!#REF!</definedName>
    <definedName name="A产品">[27]分产品销售收入、成本分析表!$A$4</definedName>
    <definedName name="B">#REF!</definedName>
    <definedName name="B.dbf">#REF!</definedName>
    <definedName name="baba">{#N/A,#N/A,FALSE,"??";#N/A,#N/A,FALSE,"????";#N/A,#N/A,FALSE,"????";#N/A,#N/A,FALSE,"????";#N/A,#N/A,FALSE,"?????";#N/A,#N/A,FALSE,"??CASH";#N/A,#N/A,FALSE,"?????";#N/A,#N/A,FALSE,"????";#N/A,#N/A,FALSE,"?? ??";#N/A,#N/A,FALSE,"????";#N/A,#N/A,FALSE,"??? (2)";#N/A,#N/A,FALSE,"????";#N/A,#N/A,FALSE,"????";#N/A,#N/A,FALSE,"????";#N/A,#N/A,FALSE,"???";#N/A,#N/A,FALSE,"????"}</definedName>
    <definedName name="babco">{#N/A,#N/A,FALSE,"목차";#N/A,#N/A,FALSE,"경영목표";#N/A,#N/A,FALSE,"팀별손익";#N/A,#N/A,FALSE,"총손익";#N/A,#N/A,FALSE,"제품별손익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abo">{#N/A,#N/A,FALSE,"목차";#N/A,#N/A,FALSE,"요약손익";#N/A,#N/A,FALSE,"월별손익";#N/A,#N/A,FALSE,"요약대차";#N/A,#N/A,FALSE,"대차대조표";#N/A,#N/A,FALSE,"요약CASH";#N/A,#N/A,FALSE,"자금운용표";#N/A,#N/A,FALSE,"판매요약";#N/A,#N/A,FALSE,"탐별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ichi">{"det (May)",#N/A,FALSE,"June";"sum (MAY YTD)",#N/A,FALSE,"June YTD"}</definedName>
    <definedName name="balance_type">1</definedName>
    <definedName name="Bank">[17]Criteria!$B$17:$B$18</definedName>
    <definedName name="base">[28]Setting!$S$20</definedName>
    <definedName name="baseyear">[29]Setting!$S$20</definedName>
    <definedName name="BBB">{#N/A,#N/A,FALSE,"목차";#N/A,#N/A,FALSE,"경영목표";#N/A,#N/A,FALSE,"팀별손익";#N/A,#N/A,FALSE,"총손익";#N/A,#N/A,FALSE,"제품별손익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2">{#N/A,#N/A,FALSE,"??";#N/A,#N/A,FALSE,"????";#N/A,#N/A,FALSE,"????";#N/A,#N/A,FALSE,"???";#N/A,#N/A,FALSE,"????? (2)";#N/A,#N/A,FALSE,"??????";#N/A,#N/A,FALSE,"????";#N/A,#N/A,FALSE,"?????";#N/A,#N/A,FALSE,"????? (2)";#N/A,#N/A,FALSE,"??";#N/A,#N/A,FALSE,"??";#N/A,#N/A,FALSE,"?? (2)";#N/A,#N/A,FALSE,"????";#N/A,#N/A,FALSE,"????";#N/A,#N/A,FALSE,"???";#N/A,#N/A,FALSE,"?????";#N/A,#N/A,FALSE,"?????";#N/A,#N/A,FALSE,"????? (2)";#N/A,#N/A,FALSE,"??";#N/A,#N/A,FALSE,"??";#N/A,#N/A,FALSE,"??";#N/A,#N/A,FALSE,"??"}</definedName>
    <definedName name="bbyt">{#N/A,#N/A,FALSE,"AP-MEHK1 ";#N/A,#N/A,FALSE,"MEGBJ";#N/A,#N/A,FALSE,"MEGSH";#N/A,#N/A,FALSE,"MEGGZ "}</definedName>
    <definedName name="bd">"1/1/2005"</definedName>
    <definedName name="bdc">"2005年1月1日"</definedName>
    <definedName name="BDCI10">{#N/A,#N/A,FALSE,"??";#N/A,#N/A,FALSE,"????";#N/A,#N/A,FALSE,"????";#N/A,#N/A,FALSE,"????";#N/A,#N/A,FALSE,"?????";#N/A,#N/A,FALSE,"??CASH";#N/A,#N/A,FALSE,"?????";#N/A,#N/A,FALSE,"????";#N/A,#N/A,FALSE,"?? ??";#N/A,#N/A,FALSE,"????";#N/A,#N/A,FALSE,"??? (2)";#N/A,#N/A,FALSE,"????";#N/A,#N/A,FALSE,"????";#N/A,#N/A,FALSE,"????";#N/A,#N/A,FALSE,"???";#N/A,#N/A,FALSE,"????"}</definedName>
    <definedName name="BETEILPLCGLOOKUP">[30]BETEILPLCG!$F$15:$Q$33</definedName>
    <definedName name="BG_Del">15</definedName>
    <definedName name="BG_Ins">4</definedName>
    <definedName name="BG_Mod">6</definedName>
    <definedName name="BGBVGYPROCLOOKUP">[31]bgbvgyprocorig!$F$14:$P$139</definedName>
    <definedName name="BGBVPOLSKA1LOOKUP">[32]BGBVSTAWIANY4!$F$13:$P$148</definedName>
    <definedName name="BGBVPOLSKA2LOOKUP">[32]BGBVSTAWIANY5!$F$13:$P$145</definedName>
    <definedName name="BGBVPOLSKA3LOOKUP">[32]BGBVSTAWIANY6!$F$13:$P$146</definedName>
    <definedName name="BGBVRUSSIA1LOOKUP">[32]BGBVRUSSIA2!$F$13:$P$141</definedName>
    <definedName name="BGBVRUSSIA2LOOKUP">[32]BGBVRUSSIA3!$F$13:$P$141</definedName>
    <definedName name="BGBVRUSSIA3LOOKUP">[32]BGBVRUSSIA3!$F$13:$P$145</definedName>
    <definedName name="BGBVRUSSIALOOKUP">[32]BGBVRUSSIA1!$F$13:$P$145</definedName>
    <definedName name="BGBVSTAWDEM1LOOKUP">[32]BGBVSTAWIANY2!$F$13:$P$149</definedName>
    <definedName name="BGBVSTAWDEM2LOOKUP">[32]BGBVSTAWIANY3!$F$13:$P$149</definedName>
    <definedName name="BGBVSTAWDEMLOOKUP">[32]BGBVSTAWIANY1!$F$13:$P$150</definedName>
    <definedName name="BGBVSTAWIANY10LOOKUP">[32]BGBVSTAWIANY10!$F$13:$P$139</definedName>
    <definedName name="BGBVSTAWIANY11LOOKUP">[32]BGBVSTAWIANY11!$F$13:$P$137</definedName>
    <definedName name="BGBVSTAWIANY12LOOKUP">[32]BGBVSTAWIANY12!$F$13:$P$137</definedName>
    <definedName name="BGBVSTAWIANY13LOOKUP">[32]BGBVSTAWIANY13!$F$13:$P$137</definedName>
    <definedName name="BGBVSTAWIANY1LOOKUP">[32]BGBVSTAWIANY1!$F$13:$P$150</definedName>
    <definedName name="BGBVSTAWIANY2LOOKUP">[32]BGBVSTAWIANY2!$F$13:$P$149</definedName>
    <definedName name="BGBVSTAWIANY3LOOKUP">[32]BGBVSTAWIANY3!$F$13:$P$149</definedName>
    <definedName name="BGBVSTAWIANY4LOOKUP">[32]BGBVSTAWIANY4!$F$13:$P$148</definedName>
    <definedName name="BGBVSTAWIANY5LOOKUP">[32]BGBVSTAWIANY5!$F$13:$P$145</definedName>
    <definedName name="BGBVSTAWIANY6LOOKUP">[32]BGBVSTAWIANY6!$F$13:$P$146</definedName>
    <definedName name="BGBVSTAWIANY7LOOKUP">[32]BGBVSTAWIANY7!$F$13:$P$139</definedName>
    <definedName name="BGBVSTAWIANY8LOOKUP">[32]BGBVSTAWIANY8!$F$13:$P$139</definedName>
    <definedName name="BGBVSTAWIANY9LOOKUP">[32]BGBVSTAWIANY9!$F$13:$P$143</definedName>
    <definedName name="bhy">{#N/A,#N/A,FALSE,"AP-MEHK1 ";#N/A,#N/A,FALSE,"MEGBJ";#N/A,#N/A,FALSE,"MEGSH";#N/A,#N/A,FALSE,"MEGGZ "}</definedName>
    <definedName name="bj">{#N/A,#N/A,FALSE,"목차";#N/A,#N/A,FALSE,"요약손익";#N/A,#N/A,FALSE,"월별손익";#N/A,#N/A,FALSE,"요약대차";#N/A,#N/A,FALSE,"대차대조표";#N/A,#N/A,FALSE,"요약CASH";#N/A,#N/A,FALSE,"자금운용표";#N/A,#N/A,FALSE,"판매요약";#N/A,#N/A,FALSE,"탐별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LPH1">#REF!</definedName>
    <definedName name="BPBGBVROMANIALOOKUP">[32]BPBGBVROMANIA!$F$15:$P$138</definedName>
    <definedName name="BPBGBVSTAWIANYEURLOOKUP">[33]BPBGBVSTAWIANYEUR!$F$17:$P$139</definedName>
    <definedName name="BPBGPLCEURLOOKUP">[34]BPBFGPLCEUR!$F$12:$Q$104</definedName>
    <definedName name="BS">'[35]BS+PL0503-SAP'!$A$4:$H$171</definedName>
    <definedName name="BS_Account_payable">#REF!</definedName>
    <definedName name="BS_Account_receivable">#REF!</definedName>
    <definedName name="BS_Advance_to_affiliates">#REF!</definedName>
    <definedName name="BS_amount_due_to_intercompanies">#REF!</definedName>
    <definedName name="BS_bank_debt_net_change">'[36]Bank Debt'!#REF!</definedName>
    <definedName name="BS_liabilites_plus_shareholders__equity">#REF!</definedName>
    <definedName name="bsbco">{#N/A,#N/A,FALSE,"목차";#N/A,#N/A,FALSE,"경영목표";#N/A,#N/A,FALSE,"팀별손익";#N/A,#N/A,FALSE,"총손익";#N/A,#N/A,FALSE,"제품별손익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Dec">'[17]BS+PL200712'!$A$4:$I$219</definedName>
    <definedName name="bsdw">[37]基本参数!$A$3</definedName>
    <definedName name="BSJuly">'[38]BS+PL200507'!$A$4:$I$195</definedName>
    <definedName name="BSOld">'[39]BS+PL200512'!$A$4:$I$125</definedName>
    <definedName name="BSt">'[40]A3 &amp; U 09-01'!$A$1:$O$52</definedName>
    <definedName name="BStest">'[40]A3 &amp; U 09-01'!$O$1:$X$52</definedName>
    <definedName name="Budgetv2.4">'[41]9609추'!#REF!</definedName>
    <definedName name="B产品">[27]分产品销售收入、成本分析表!$A$24</definedName>
    <definedName name="B端占比20161231">'[26]费用&amp;成本分类(非路宝)'!$L$2</definedName>
    <definedName name="B端占比2016930">'[26]费用&amp;成本分类(非路宝)'!$H$2</definedName>
    <definedName name="B端占比2017930">'[26]费用&amp;成本分类(非路宝)'!$P$2</definedName>
    <definedName name="CACA">{#N/A,#N/A,FALSE,"??";#N/A,#N/A,FALSE,"????";#N/A,#N/A,FALSE,"????";#N/A,#N/A,FALSE,"????";#N/A,#N/A,FALSE,"?????";#N/A,#N/A,FALSE,"??CASH";#N/A,#N/A,FALSE,"?????";#N/A,#N/A,FALSE,"????";#N/A,#N/A,FALSE,"?? ??";#N/A,#N/A,FALSE,"????";#N/A,#N/A,FALSE,"??? (2)";#N/A,#N/A,FALSE,"????";#N/A,#N/A,FALSE,"????";#N/A,#N/A,FALSE,"????";#N/A,#N/A,FALSE,"???";#N/A,#N/A,FALSE,"????"}</definedName>
    <definedName name="calc">1</definedName>
    <definedName name="CapIncP1">#REF!</definedName>
    <definedName name="CapIncP10">#REF!</definedName>
    <definedName name="CapIncP11">#REF!</definedName>
    <definedName name="CapIncP12">#REF!</definedName>
    <definedName name="CapIncP13">#REF!</definedName>
    <definedName name="CapIncP14">#REF!</definedName>
    <definedName name="CapIncP15">#REF!</definedName>
    <definedName name="CapIncP16">#REF!</definedName>
    <definedName name="CapIncP17">#REF!</definedName>
    <definedName name="CapIncP18">#REF!</definedName>
    <definedName name="CapIncP19">#REF!</definedName>
    <definedName name="CapIncP2">#REF!</definedName>
    <definedName name="CapIncP20">#REF!</definedName>
    <definedName name="CapIncP21">#REF!</definedName>
    <definedName name="CapIncP22">#REF!</definedName>
    <definedName name="CapIncP23">#REF!</definedName>
    <definedName name="CapIncP24">#REF!</definedName>
    <definedName name="CapIncP25">#REF!</definedName>
    <definedName name="CapIncP26">#REF!</definedName>
    <definedName name="CapIncP27">#REF!</definedName>
    <definedName name="CapIncP28">#REF!</definedName>
    <definedName name="CapIncP29">#REF!</definedName>
    <definedName name="CapIncP3">#REF!</definedName>
    <definedName name="CapIncP30">#REF!</definedName>
    <definedName name="CapIncP31">#REF!</definedName>
    <definedName name="CapIncP32">#REF!</definedName>
    <definedName name="CapIncP33">#REF!</definedName>
    <definedName name="CapIncP34">#REF!</definedName>
    <definedName name="CapIncP35">#REF!</definedName>
    <definedName name="CapIncP36">#REF!</definedName>
    <definedName name="CapIncP37">#REF!</definedName>
    <definedName name="CapIncP38">#REF!</definedName>
    <definedName name="CapIncP39">#REF!</definedName>
    <definedName name="CapIncP4">#REF!</definedName>
    <definedName name="CapIncP40">#REF!</definedName>
    <definedName name="CapIncP41">#REF!</definedName>
    <definedName name="CapIncP42">#REF!</definedName>
    <definedName name="CapIncP43">#REF!</definedName>
    <definedName name="CapIncP44">#REF!</definedName>
    <definedName name="CapIncP45">#REF!</definedName>
    <definedName name="CapIncP46">#REF!</definedName>
    <definedName name="CapIncP47">#REF!</definedName>
    <definedName name="CapIncP48">#REF!</definedName>
    <definedName name="CapIncP49">#REF!</definedName>
    <definedName name="CapIncP5">#REF!</definedName>
    <definedName name="CapIncP50">#REF!</definedName>
    <definedName name="CapIncP51">#REF!</definedName>
    <definedName name="CapIncP52">#REF!</definedName>
    <definedName name="CapIncP53">#REF!</definedName>
    <definedName name="CapIncP54">#REF!</definedName>
    <definedName name="CapIncP55">#REF!</definedName>
    <definedName name="CapIncP56">#REF!</definedName>
    <definedName name="CapIncP57">#REF!</definedName>
    <definedName name="CapIncP58">#REF!</definedName>
    <definedName name="CapIncP59">#REF!</definedName>
    <definedName name="CapIncP6">#REF!</definedName>
    <definedName name="CapIncP60">#REF!</definedName>
    <definedName name="CapIncP61">#REF!</definedName>
    <definedName name="CapIncP62">#REF!</definedName>
    <definedName name="CapIncP63">#REF!</definedName>
    <definedName name="CapIncP64">#REF!</definedName>
    <definedName name="CapIncP65">#REF!</definedName>
    <definedName name="CapIncP66">#REF!</definedName>
    <definedName name="CapIncP67">#REF!</definedName>
    <definedName name="CapIncP68">#REF!</definedName>
    <definedName name="CapIncP7">#REF!</definedName>
    <definedName name="CapIncP8">#REF!</definedName>
    <definedName name="CapIncP9">#REF!</definedName>
    <definedName name="Capital">[17]Criteria!$H$25:$H$26</definedName>
    <definedName name="capp1">#REF!</definedName>
    <definedName name="Capp10">#REF!</definedName>
    <definedName name="Capp11">#REF!</definedName>
    <definedName name="CapP12">#REF!</definedName>
    <definedName name="CapP13">#REF!</definedName>
    <definedName name="CapP14">#REF!</definedName>
    <definedName name="CapP15">#REF!</definedName>
    <definedName name="CapP16">#REF!</definedName>
    <definedName name="CapP17">#REF!</definedName>
    <definedName name="CapP18">#REF!</definedName>
    <definedName name="CapP19">#REF!</definedName>
    <definedName name="Capp2">#REF!</definedName>
    <definedName name="CapP20">#REF!</definedName>
    <definedName name="CapP21">#REF!</definedName>
    <definedName name="CapP22">#REF!</definedName>
    <definedName name="CapP23">#REF!</definedName>
    <definedName name="CapP24">#REF!</definedName>
    <definedName name="CapP25">#REF!</definedName>
    <definedName name="CapP26">#REF!</definedName>
    <definedName name="CapP27">#REF!</definedName>
    <definedName name="CapP28">#REF!</definedName>
    <definedName name="CapP29">#REF!</definedName>
    <definedName name="Capp3">#REF!</definedName>
    <definedName name="CapP30">#REF!</definedName>
    <definedName name="CapP31">#REF!</definedName>
    <definedName name="CapP32">#REF!</definedName>
    <definedName name="CapP33">#REF!</definedName>
    <definedName name="CapP34">#REF!</definedName>
    <definedName name="CAPP35">#REF!</definedName>
    <definedName name="CAPP36">#REF!</definedName>
    <definedName name="CAPP37">#REF!</definedName>
    <definedName name="CAPP38">#REF!</definedName>
    <definedName name="CAPP39">#REF!</definedName>
    <definedName name="Capp4">#REF!</definedName>
    <definedName name="CAPP40">#REF!</definedName>
    <definedName name="CAPP41">#REF!</definedName>
    <definedName name="CAPP42">#REF!</definedName>
    <definedName name="CAPP43">#REF!</definedName>
    <definedName name="CAPP44">#REF!</definedName>
    <definedName name="CAPP45">#REF!</definedName>
    <definedName name="CAPP46">#REF!</definedName>
    <definedName name="CAPP47">#REF!</definedName>
    <definedName name="CAPP48">#REF!</definedName>
    <definedName name="CAPP49">#REF!</definedName>
    <definedName name="Capp5">#REF!</definedName>
    <definedName name="CAPP50">#REF!</definedName>
    <definedName name="CAPP51">#REF!</definedName>
    <definedName name="CAPP52">#REF!</definedName>
    <definedName name="CAPP53">#REF!</definedName>
    <definedName name="CAPP54">#REF!</definedName>
    <definedName name="CAPP55">#REF!</definedName>
    <definedName name="CAPP56">#REF!</definedName>
    <definedName name="CAPP57">#REF!</definedName>
    <definedName name="CAPP58">#REF!</definedName>
    <definedName name="CAPP59">#REF!</definedName>
    <definedName name="Capp6">#REF!</definedName>
    <definedName name="CAPP60">#REF!</definedName>
    <definedName name="CAPP61">#REF!</definedName>
    <definedName name="CAPP62">#REF!</definedName>
    <definedName name="CAPP63">#REF!</definedName>
    <definedName name="CAPP64">#REF!</definedName>
    <definedName name="CAPP65">#REF!</definedName>
    <definedName name="CAPP66">#REF!</definedName>
    <definedName name="CAPP67">#REF!</definedName>
    <definedName name="CAPP68">#REF!</definedName>
    <definedName name="Capp7">#REF!</definedName>
    <definedName name="Capp8">#REF!</definedName>
    <definedName name="Capp9">#REF!</definedName>
    <definedName name="Car_park_GFA">#REF!</definedName>
    <definedName name="cashflow20030930">{"M1Print",#N/A,TRUE,"M1";"M2Print",#N/A,TRUE,"M2";"M1sPrint",#N/A,TRUE,"M1s";"M2aPrint",#N/A,TRUE,"M2a";"M4Print",#N/A,TRUE,"M4";"M5Print",#N/A,TRUE,"M5";"M6Print",#N/A,TRUE,"M6";"M6_1Print",#N/A,TRUE,"M6_1";"M6_2Print",#N/A,TRUE,"M6_2";"M7_1Print",#N/A,TRUE,"M7_1";"M7_2Print",#N/A,TRUE,"M7_2"}</definedName>
    <definedName name="CashPoolDetails">[42]CashPoolBal!$B$6:$Z$142</definedName>
    <definedName name="CBS_1">[43]CBS!$D$10:$Q$85</definedName>
    <definedName name="CBWorkbookPriority">-2106482914</definedName>
    <definedName name="cc">{#N/A,#N/A,FALSE,"??";#N/A,#N/A,FALSE,"????";#N/A,#N/A,FALSE,"????";#N/A,#N/A,FALSE,"???";#N/A,#N/A,FALSE,"????? (2)";#N/A,#N/A,FALSE,"??????";#N/A,#N/A,FALSE,"????";#N/A,#N/A,FALSE,"?????";#N/A,#N/A,FALSE,"????? (2)";#N/A,#N/A,FALSE,"??";#N/A,#N/A,FALSE,"??";#N/A,#N/A,FALSE,"?? (2)";#N/A,#N/A,FALSE,"????";#N/A,#N/A,FALSE,"????";#N/A,#N/A,FALSE,"???";#N/A,#N/A,FALSE,"?????";#N/A,#N/A,FALSE,"?????";#N/A,#N/A,FALSE,"????? (2)";#N/A,#N/A,FALSE,"??";#N/A,#N/A,FALSE,"??";#N/A,#N/A,FALSE,"??";#N/A,#N/A,FALSE,"??"}</definedName>
    <definedName name="CCC">[15]CCC_List!$A$2:$A$596</definedName>
    <definedName name="CCCCC">{#N/A,#N/A,FALSE,"??";#N/A,#N/A,FALSE,"????";#N/A,#N/A,FALSE,"????";#N/A,#N/A,FALSE,"???";#N/A,#N/A,FALSE,"????? (2)";#N/A,#N/A,FALSE,"??????";#N/A,#N/A,FALSE,"????";#N/A,#N/A,FALSE,"?????";#N/A,#N/A,FALSE,"????? (2)";#N/A,#N/A,FALSE,"??";#N/A,#N/A,FALSE,"??";#N/A,#N/A,FALSE,"?? (2)";#N/A,#N/A,FALSE,"????";#N/A,#N/A,FALSE,"????";#N/A,#N/A,FALSE,"???";#N/A,#N/A,FALSE,"?????";#N/A,#N/A,FALSE,"?????";#N/A,#N/A,FALSE,"????? (2)";#N/A,#N/A,FALSE,"??";#N/A,#N/A,FALSE,"??";#N/A,#N/A,FALSE,"??";#N/A,#N/A,FALSE,"??"}</definedName>
    <definedName name="cccvb">{#N/A,#N/A,FALSE,"资产负债表";#N/A,#N/A,FALSE,"资产负债表"}</definedName>
    <definedName name="ccsc">{"FIX ASSETS PAGE 1",#N/A,TRUE,"FIXED ASSETS";"FIX ASSETS PAGE 2",#N/A,TRUE,"FIXED ASSETS";"FIX ASSETS PAGE 3",#N/A,TRUE,"FIXED ASSETS";"FIX ASSETS PAGE 4",#N/A,TRUE,"FIXED ASSETS";"FIX ASSETS PAGE 5",#N/A,TRUE,"FIXED ASSETS";"FIX ASSETS PAGE 6",#N/A,TRUE,"FIXED ASSETS";"FIX ASSETS PAGE 7",#N/A,TRUE,"FIXED ASSETS"}</definedName>
    <definedName name="Ceiling">[44]Data!$B$116:$AL$119</definedName>
    <definedName name="CFDS">{"资产",#N/A,FALSE,"TB-BS"}</definedName>
    <definedName name="CFVVHH">{#N/A,#N/A,FALSE,"资产负债表";#N/A,#N/A,FALSE,"资产负债表"}</definedName>
    <definedName name="cfyik">{#N/A,#N/A,FALSE,"资产负债表";#N/A,#N/A,FALSE,"资产负债表"}</definedName>
    <definedName name="cgul">{#N/A,#N/A,FALSE,"资产负债表";#N/A,#N/A,FALSE,"资产负债表"}</definedName>
    <definedName name="cguocnbnl">{#N/A,#N/A,FALSE,"资产负债表";#N/A,#N/A,FALSE,"资产负债表"}</definedName>
    <definedName name="CIP">[17]Criteria!$J$17:$J$18</definedName>
    <definedName name="CIQWBGuid">"Home InnsCB&amp;IRS 12Q4_20130123.xlsx"</definedName>
    <definedName name="Client_Name">[45]TB!$D$3</definedName>
    <definedName name="ClientList">[46]drop_down!$L$3:$L$41</definedName>
    <definedName name="Clients">#REF!</definedName>
    <definedName name="co">100</definedName>
    <definedName name="COD">[47]Sheet3!$A$1:$A$463</definedName>
    <definedName name="COL_A1">[48]Changes!$B$4:$B$50</definedName>
    <definedName name="COL_A2">[48]Changes!$C$4:$C$50</definedName>
    <definedName name="COL_A3">[48]Changes!$D$4:$D$50</definedName>
    <definedName name="COL_A4">[48]Changes!$E$4:$E$50</definedName>
    <definedName name="COL_A5">[48]Changes!$F$4:$F$50</definedName>
    <definedName name="COL_A6">[48]Changes!$G$4:$G$50</definedName>
    <definedName name="col1ajust">[49]param!$A$19:$A$26</definedName>
    <definedName name="col2ajust">[49]param!$B$19:$B$26</definedName>
    <definedName name="col3ajust">[49]param!$C$19:$C$26</definedName>
    <definedName name="Coll">{#N/A,#N/A,FALSE,"970301";#N/A,#N/A,FALSE,"970302";#N/A,#N/A,FALSE,"970303";#N/A,#N/A,FALSE,"970304";#N/A,#N/A,FALSE,"COM1";#N/A,#N/A,FALSE,"COM2"}</definedName>
    <definedName name="CollRM">[50]CollRM!$D:$O</definedName>
    <definedName name="comparison">#REF!</definedName>
    <definedName name="COMPLEX">[51]AFEMAI!$H$8:$H$485</definedName>
    <definedName name="Consumables">[17]Criteria!$B$21:$B$22</definedName>
    <definedName name="contract">[52]HireIT0000!$C$55:$C$62</definedName>
    <definedName name="COPY_YTD">#N/A</definedName>
    <definedName name="CopyArea">'[53]ACE-OUT'!$A$3:$H$60</definedName>
    <definedName name="Cost_Center2">'[54]Look up datebase'!$A$2:$A$10</definedName>
    <definedName name="Crowd_take_rate">'[55]Food delivery'!$112:$112</definedName>
    <definedName name="csd">{#N/A,#N/A,FALSE,"AP-MEHK1 ";#N/A,#N/A,FALSE,"MEGBJ";#N/A,#N/A,FALSE,"MEGSH";#N/A,#N/A,FALSE,"MEGGZ "}</definedName>
    <definedName name="csDesignMode">1</definedName>
    <definedName name="Currency">[45]TB!$I$4</definedName>
    <definedName name="CZinTEUR">'[56]Consultants local currency'!#REF!</definedName>
    <definedName name="C产品">[27]分产品销售收入、成本分析表!$A$44</definedName>
    <definedName name="C端占比20161231">'[26]费用&amp;成本分类(非路宝)'!$L$3</definedName>
    <definedName name="C端占比2016930">'[26]费用&amp;成本分类(非路宝)'!$H$3</definedName>
    <definedName name="C端占比2017930">'[26]费用&amp;成本分类(非路宝)'!$P$3</definedName>
    <definedName name="d">[57]参数!$B$5</definedName>
    <definedName name="D126757F_8C22_4332_AE16_6A56D0626CD4_Analysis_图表_3_ChartType">64</definedName>
    <definedName name="D126757F_8C22_4332_AE16_6A56D0626CD4_Analysis_图表_3_distributionSingle">FALSE</definedName>
    <definedName name="D126757F_8C22_4332_AE16_6A56D0626CD4_Analysis_图表_3_HorAxisGridlines">FALSE</definedName>
    <definedName name="D126757F_8C22_4332_AE16_6A56D0626CD4_Analysis_图表_3_VerAxisGridlines">FALSE</definedName>
    <definedName name="D126757F_8C22_4332_AE16_6A56D0626CD4_ECPM_analysis_图表_1_ChartType">2048</definedName>
    <definedName name="D126757F_8C22_4332_AE16_6A56D0626CD4_ECPM_analysis_图表_100_ChartType">4096</definedName>
    <definedName name="D126757F_8C22_4332_AE16_6A56D0626CD4_ECPM_analysis_图表_1166_ChartType">2048</definedName>
    <definedName name="D126757F_8C22_4332_AE16_6A56D0626CD4_ECPM_analysis_图表_1166_distributionSingle">FALSE</definedName>
    <definedName name="D126757F_8C22_4332_AE16_6A56D0626CD4_ECPM_analysis_图表_1166_HorAxisGridlines">TRUE</definedName>
    <definedName name="D126757F_8C22_4332_AE16_6A56D0626CD4_ECPM_analysis_图表_1166_VerAxisGridlines">TRUE</definedName>
    <definedName name="D126757F_8C22_4332_AE16_6A56D0626CD4_ECPM_analysis_图表_50_ChartType">2048</definedName>
    <definedName name="D126757F_8C22_4332_AE16_6A56D0626CD4_ECPM_analysis_图表_50_distributionSingle">FALSE</definedName>
    <definedName name="D126757F_8C22_4332_AE16_6A56D0626CD4_ECPM_analysis_图表_50_HorAxisGridlines">FALSE</definedName>
    <definedName name="D126757F_8C22_4332_AE16_6A56D0626CD4_ECPM_analysis_图表_50_VerAxisGridlines">FALSE</definedName>
    <definedName name="D126757F_8C22_4332_AE16_6A56D0626CD4_Sheet1_图表_3_ChartType">64</definedName>
    <definedName name="D126757F_8C22_4332_AE16_6A56D0626CD4_Sheet1_图表_3_distributionSingle">FALSE</definedName>
    <definedName name="D126757F_8C22_4332_AE16_6A56D0626CD4_Sheet1_图表_3_HorAxisGridlines">FALSE</definedName>
    <definedName name="D126757F_8C22_4332_AE16_6A56D0626CD4_Sheet1_图表_3_VerAxisGridlines">FALSE</definedName>
    <definedName name="D126757F_8C22_4332_AE16_6A56D0626CD4_Sheet1_图表_5_ChartType">4</definedName>
    <definedName name="D126757F_8C22_4332_AE16_6A56D0626CD4_Sheet1_图表_5_distributionSingle">FALSE</definedName>
    <definedName name="D126757F_8C22_4332_AE16_6A56D0626CD4_Sheet1_图表_5_HorAxisGridlines">FALSE</definedName>
    <definedName name="D126757F_8C22_4332_AE16_6A56D0626CD4_Sheet1_图表_5_VerAxisGridlines">FALSE</definedName>
    <definedName name="D126757F_8C22_4332_AE16_6A56D0626CD4_Sheet1_图表_7_ChartType">4</definedName>
    <definedName name="D126757F_8C22_4332_AE16_6A56D0626CD4_Sheet1_图表_7_distributionSingle">FALSE</definedName>
    <definedName name="D126757F_8C22_4332_AE16_6A56D0626CD4_Sheet1_图表_7_HorAxisGridlines">FALSE</definedName>
    <definedName name="D126757F_8C22_4332_AE16_6A56D0626CD4_Sheet1_图表_7_VerAxisGridlines">FALSE</definedName>
    <definedName name="D126757F_8C22_4332_AE16_6A56D0626CD4_Sheet4_图表_3_ChartType">2</definedName>
    <definedName name="D126757F_8C22_4332_AE16_6A56D0626CD4_Sheet4_图表_3_distributionSingle">FALSE</definedName>
    <definedName name="D126757F_8C22_4332_AE16_6A56D0626CD4_Sheet4_图表_3_HorAxisGridlines">FALSE</definedName>
    <definedName name="D126757F_8C22_4332_AE16_6A56D0626CD4_Sheet4_图表_3_VerAxisGridlines">FALSE</definedName>
    <definedName name="dasfgsfghfghdf">{#N/A,#N/A,FALSE,"970301";#N/A,#N/A,FALSE,"970302";#N/A,#N/A,FALSE,"970303";#N/A,#N/A,FALSE,"970304";#N/A,#N/A,FALSE,"COM1";#N/A,#N/A,FALSE,"COM2"}</definedName>
    <definedName name="data">[58]Database!$A$1:$E$433</definedName>
    <definedName name="Database">#REF!</definedName>
    <definedName name="DateColumns">'[59]J&amp;Q'!#REF!,'[59]J&amp;Q'!#REF!,'[59]J&amp;Q'!#REF!,'[59]J&amp;Q'!$A$1:$B$65536</definedName>
    <definedName name="dbTitle_builder">[60]G2TempSheet!$C$4</definedName>
    <definedName name="dbTitle_projectname">[60]G2TempSheet!$D$4</definedName>
    <definedName name="dbTitle_title">[60]G2TempSheet!$B$4</definedName>
    <definedName name="dc">"2006年12月31日"</definedName>
    <definedName name="dcca">{#N/A,#N/A,FALSE,"资产负债表";#N/A,#N/A,FALSE,"资产负债表"}</definedName>
    <definedName name="dd">{#N/A,#N/A,FALSE,"YTD ,99"}</definedName>
    <definedName name="DD_Curr">[61]Currency!$C$3</definedName>
    <definedName name="DDD">[62]data!$C$2:$C$3</definedName>
    <definedName name="dddd">{#N/A,#N/A,FALSE,"Aging Summary";#N/A,#N/A,FALSE,"Ratio Analysis";#N/A,#N/A,FALSE,"Test 120 Day Accts";#N/A,#N/A,FALSE,"Tickmarks"}</definedName>
    <definedName name="ddddd">{#N/A,#N/A,FALSE,"AP-MEHK1 ";#N/A,#N/A,FALSE,"MEGBJ";#N/A,#N/A,FALSE,"MEGSH";#N/A,#N/A,FALSE,"MEGGZ "}</definedName>
    <definedName name="dddddddddddddddddd">{#N/A,#N/A,FALSE,"Aging Summary";#N/A,#N/A,FALSE,"Ratio Analysis";#N/A,#N/A,FALSE,"Test 120 Day Accts";#N/A,#N/A,FALSE,"Tickmarks"}</definedName>
    <definedName name="Décembre">'[22]Flash 2001'!#REF!,'[22]Flash 2001'!#REF!</definedName>
    <definedName name="Delievery_Quarter">#REF!</definedName>
    <definedName name="Department">[63]Sheet1!$C$3:$C$10</definedName>
    <definedName name="df">[64]待摊费用明细表!$A$3:$J$12</definedName>
    <definedName name="dfdfd">{#N/A,#N/A,FALSE,"TB";#N/A,#N/A,FALSE,"DR";#N/A,#N/A,FALSE,"AR";#N/A,#N/A,FALSE,"PL";#N/A,#N/A,FALSE,"BS";#N/A,#N/A,FALSE,"NOTES";#N/A,#N/A,FALSE,"NOTES (2)";#N/A,#N/A,FALSE,"NOTES (3)";#N/A,#N/A,FALSE,"DPL";#N/A,#N/A,FALSE,"TAXC.INDEX";#N/A,#N/A,FALSE,"Schedule I";#N/A,#N/A,FALSE,"Adjustments"}</definedName>
    <definedName name="dfhfsghfs">{#N/A,#N/A,FALSE,"TAXC.INDEX";#N/A,#N/A,FALSE,"Schedule I";#N/A,#N/A,FALSE,"Schedule  II";#N/A,#N/A,FALSE,"Schedule III";#N/A,#N/A,FALSE,"Schedule IV";#N/A,#N/A,FALSE,"Schedule IV (Cont'd)";#N/A,#N/A,FALSE,"Schedule V";#N/A,#N/A,FALSE,"Schedule VI";#N/A,#N/A,FALSE,"Schedule VII"}</definedName>
    <definedName name="dfkdskfk">#N/A</definedName>
    <definedName name="dfv">{"现金主表",#N/A,FALSE,"正式Cashflow"}</definedName>
    <definedName name="DG_DQKM">"其他货币资金"</definedName>
    <definedName name="DG_SYH">"ZA-4-20"</definedName>
    <definedName name="dhg">{#N/A,#N/A,FALSE,"AP-MEHK1 ";#N/A,#N/A,FALSE,"MEGBJ";#N/A,#N/A,FALSE,"MEGSH";#N/A,#N/A,FALSE,"MEGGZ "}</definedName>
    <definedName name="didi">#REF!</definedName>
    <definedName name="Discount_rate_I">#REF!</definedName>
    <definedName name="Discount_rate_II">#REF!</definedName>
    <definedName name="djkvcirejfr4">{"FIX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{"FIX ASSETS PAGE 1",#N/A,TRUE,"FIXED ASSETS";"FIX ASSETS PAGE 2",#N/A,TRUE,"FIXED ASSETS";"FIX ASSETS PAGE 3",#N/A,TRUE,"FIXED ASSETS";"FIX ASSETS PAGE 4",#N/A,TRUE,"FIXED ASSETS";"FIX ASSETS PAGE 5",#N/A,TRUE,"FIXED ASSETS";"FIX ASSETS PAGE 6",#N/A,TRUE,"FIXED ASSETS";"FIX ASSETS PAGE 7",#N/A,TRUE,"FIXED ASSETS"}</definedName>
    <definedName name="ds">{#N/A,#N/A,FALSE,"资产负债表";#N/A,#N/A,FALSE,"资产负债表"}</definedName>
    <definedName name="dsdeoijg">{#N/A,#N/A,FALSE,"목차";#N/A,#N/A,FALSE,"경영목표";#N/A,#N/A,FALSE,"팀별손익";#N/A,#N/A,FALSE,"총손익";#N/A,#N/A,FALSE,"제품별손익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dsf">{#N/A,#N/A,FALSE,"Aging Summary";#N/A,#N/A,FALSE,"Ratio Analysis";#N/A,#N/A,FALSE,"Test 120 Day Accts";#N/A,#N/A,FALSE,"Tickmarks"}</definedName>
    <definedName name="dvbm">{#N/A,#N/A,FALSE,"资产负债表";#N/A,#N/A,FALSE,"资产负债表"}</definedName>
    <definedName name="DW">[65]Definition!$A:$A</definedName>
    <definedName name="dwmc">[66]维护!$E$3:$E$1000</definedName>
    <definedName name="D产品">[27]分产品销售收入、成本分析表!$A$64</definedName>
    <definedName name="E_ALL_3690.HK">'[67]3690.HK_Exchange_Sheet'!$A$1:$AI$284</definedName>
    <definedName name="ED">{"资产",#N/A,FALSE,"TB-BS"}</definedName>
    <definedName name="EDF">{"现金主表",#N/A,FALSE,"正式Cashflow"}</definedName>
    <definedName name="ee">{#N/A,#N/A,FALSE,"YTD ,99"}</definedName>
    <definedName name="eee">{#N/A,#N/A,FALSE,"YTD ,99"}</definedName>
    <definedName name="EEGroup">[52]HireIT0000!$H$55:$H$69</definedName>
    <definedName name="EF">'[68]Effectifs Totaux'!$B$4</definedName>
    <definedName name="efnedvcne">{"FIX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{"FIX ASSETS PAGE 1",#N/A,TRUE,"FIXED ASSETS";"FIX ASSETS PAGE 2",#N/A,TRUE,"FIXED ASSETS";"FIX ASSETS PAGE 3",#N/A,TRUE,"FIXED ASSETS";"FIX ASSETS PAGE 4",#N/A,TRUE,"FIXED ASSETS";"FIX ASSETS PAGE 5",#N/A,TRUE,"FIXED ASSETS";"FIX ASSETS PAGE 6",#N/A,TRUE,"FIXED ASSETS";"FIX ASSETS PAGE 7",#N/A,TRUE,"FIXED ASSETS"}</definedName>
    <definedName name="EIH">{#N/A,#N/A,FALSE,"AP-MEHK1 ";#N/A,#N/A,FALSE,"MEGBJ";#N/A,#N/A,FALSE,"MEGSH";#N/A,#N/A,FALSE,"MEGGZ "}</definedName>
    <definedName name="eir\">{#N/A,#N/A,FALSE,"AP-MEHK1 ";#N/A,#N/A,FALSE,"MEGBJ";#N/A,#N/A,FALSE,"MEGSH";#N/A,#N/A,FALSE,"MEGGZ "}</definedName>
    <definedName name="EIT">{#N/A,#N/A,FALSE,"AP-MEHK1 ";#N/A,#N/A,FALSE,"MEGBJ";#N/A,#N/A,FALSE,"MEGSH";#N/A,#N/A,FALSE,"MEGGZ "}</definedName>
    <definedName name="EITcomputation">{#N/A,#N/A,FALSE,"AP-MEHK1 ";#N/A,#N/A,FALSE,"MEGBJ";#N/A,#N/A,FALSE,"MEGSH";#N/A,#N/A,FALSE,"MEGGZ "}</definedName>
    <definedName name="Ending_20140331">'[69]Exchange Rate'!$C$5</definedName>
    <definedName name="Ending_20141231Korea">[70]Rate!$L$5</definedName>
    <definedName name="Ending_20150131">[71]Rate!$C$10</definedName>
    <definedName name="Ending_20150131_Korea">[71]Rate!$N$10</definedName>
    <definedName name="Ending_20150331">[71]Rate!$I$5</definedName>
    <definedName name="Ending_20150331_Korea">[71]Rate!$N$10</definedName>
    <definedName name="Ending_20150630">[72]Rate!$J$10</definedName>
    <definedName name="Ending_20150630_Korea">[72]Rate!$Q$10</definedName>
    <definedName name="Ending_20150930">[73]Rate!$K$5</definedName>
    <definedName name="Ending_20150930_Korea">[74]Rate!$T$10</definedName>
    <definedName name="ending20170930">[26]FXRate!$E$14</definedName>
    <definedName name="Entity">[75]Code!$A$2:$A$107</definedName>
    <definedName name="er">{"资产",#N/A,FALSE,"TB-BS"}</definedName>
    <definedName name="erer">{"FIX ASSETS PAGE 1",#N/A,TRUE,"FIXED ASSETS";"FIX ASSETS PAGE 2",#N/A,TRUE,"FIXED ASSETS";"FIX ASSETS PAGE 3",#N/A,TRUE,"FIXED ASSETS";"FIX ASSETS PAGE 4",#N/A,TRUE,"FIXED ASSETS";"FIX ASSETS PAGE 5",#N/A,TRUE,"FIXED ASSETS";"FIX ASSETS PAGE 6",#N/A,TRUE,"FIXED ASSETS";"FIX ASSETS PAGE 7",#N/A,TRUE,"FIXED ASSETS"}</definedName>
    <definedName name="Err_Box_AddSamp">'[76]Non-Statistical Sampling'!$AR$6</definedName>
    <definedName name="Err_Box_Rej">'[76]Non-Statistical Sampling'!$AR$5</definedName>
    <definedName name="Err_CellComments">'[76]Non-Statistical Sampling'!$AJ$13</definedName>
    <definedName name="Err_SampErr">'[76]Non-Statistical Sampling'!$AK$15</definedName>
    <definedName name="ERT">{#N/A,#N/A,FALSE,"AP-MEHK1 ";#N/A,#N/A,FALSE,"MEGBJ";#N/A,#N/A,FALSE,"MEGSH";#N/A,#N/A,FALSE,"MEGGZ "}</definedName>
    <definedName name="ERV">{#N/A,#N/A,FALSE,"AP-MEHK1 ";#N/A,#N/A,FALSE,"MEGBJ";#N/A,#N/A,FALSE,"MEGSH";#N/A,#N/A,FALSE,"MEGGZ "}</definedName>
    <definedName name="erwe">{#N/A,#N/A,FALSE,"Aging Summary";#N/A,#N/A,FALSE,"Ratio Analysis";#N/A,#N/A,FALSE,"Test 120 Day Accts";#N/A,#N/A,FALSE,"Tickmarks"}</definedName>
    <definedName name="eryj">{#N/A,#N/A,FALSE,"资产负债表";#N/A,#N/A,FALSE,"资产负债表"}</definedName>
    <definedName name="EssLatest">"M01"</definedName>
    <definedName name="EssOptions">"A1100100000110000000001100020_08#missing00"</definedName>
    <definedName name="EssSamplingValue">100</definedName>
    <definedName name="ET">{"负债及权益",#N/A,FALSE,"TB-BS"}</definedName>
    <definedName name="ETW">{#N/A,#N/A,FALSE,"AP-MEHK1 ";#N/A,#N/A,FALSE,"MEGBJ";#N/A,#N/A,FALSE,"MEGSH";#N/A,#N/A,FALSE,"MEGGZ "}</definedName>
    <definedName name="EV__ALLOWSTOPEXPAND__">0</definedName>
    <definedName name="EV__DECIMALSYMBOL__">"."</definedName>
    <definedName name="EV__EVCOMOPTS__">10</definedName>
    <definedName name="EV__EXPOPTIONS__">0</definedName>
    <definedName name="EV__LASTREFTIME__">38663.7423148148</definedName>
    <definedName name="EV__LOCKEDCVW__FINANCE">"F_GLOBAL,Actual,Bud_2007,C_IFRS,e_cn009,n_fm_r123,IFM_ALL,Movements,2007.AUG,YTD,"</definedName>
    <definedName name="EV__LOCKEDCVW__FINANCE_USGAAP">"F_UBS,ACTUAL,Initial_Input,C_IFRS,FM_TNTC,LC,IFM_ALL,CLO,2006.DEC,YTD,"</definedName>
    <definedName name="EV__LOCKEDCVW__HIST_EXPRESS">"ME_PL,ACTUAL,Initial_Input,C_IFRS,FM_TNTC,P_EXP,LC,IFM_ALL,2003.TOTAL,YTD,"</definedName>
    <definedName name="EV__LOCKEDCVW__HIST_FIN">"F_GLOBAL,ACTUAL,Initial_Input,C_IFRS,FM_TNTC,LC,IFM_ALL,Movements,2003.TOTAL,YTD,"</definedName>
    <definedName name="EV__LOCKEDCVW__HIST_INTMAIL">"MI_PL,ACTUAL,Initial_Input,C_IFRS,FM_TNTC,LC,IFM_ALL,P_IM,2003.TOTAL,YTD,"</definedName>
    <definedName name="EV__LOCKEDCVW__HIST_LOGISTICS">"ml_EBITA,AC_ALL,ACTUAL,Initial_Input,C_IFRS,FM_TNTC,LC,IFM_ALL,SE_ALL,2003.TOTAL,YTD,"</definedName>
    <definedName name="EV__LOCKEDCVW__MONTHLY_EXPRESS">"ME_PL,ACTUAL,Initial_Input,i_ifrs,e_hk001,P_EXP,LC,IFM_ALL,2007.JUL,YTD,"</definedName>
    <definedName name="EV__LOCKEDCVW__MONTHLY_INTMAIL">"MI_PL,ACTUAL,Initial_Input,C_IFRS,FM_TNTC,LC,IFM_ALL,P_IM,2003.TOTAL,YTD,"</definedName>
    <definedName name="EV__LOCKEDCVW__MONTHLY_LOGISTICS">"ml_EBITA,AC_ALL,ACTUAL,Initial_Input,C_IFRS,FM_TNTC,LC,IFM_ALL,SE_ALL,2003.TOTAL,YTD,"</definedName>
    <definedName name="EV__LOCKEDCVW__OWNERSHIP">"ACTUAL,PCON,FM_TNTC,LC,IFM_ALL,2003.TOTAL,YTD,"</definedName>
    <definedName name="EV__LOCKEDCVW__RATE">"ACTUAL,EUR,Open,Input,Default,2003.TOTAL,YTD,"</definedName>
    <definedName name="EV__LOCKEDCVW__RATE_W">"ACTUAL,EUR,Open,Input,Default,2003.TOTAL,YTD,"</definedName>
    <definedName name="EV__LOCKEDCVW__RFC_EXPRESS">"ME_PL,ACTUAL,Initial_Input,C_IFRS,FM_TNTC,P_EXP,LC,IFM_ALL,2003.TOTAL,YTD,"</definedName>
    <definedName name="EV__LOCKEDCVW__RFC_FIN">"F_GLOBAL,ACTUAL,Initial_Input,C_IFRS,FM_TNTC,LC,IFM_ALL,Movements,2003.TOTAL,YTD,"</definedName>
    <definedName name="EV__LOCKEDCVW__RFC_INTMAIL">"MI_PL,ACTUAL,Initial_Input,C_IFRS,FM_TNTC,LC,IFM_ALL,P_IM,2003.TOTAL,YTD,"</definedName>
    <definedName name="EV__LOCKEDCVW__WEEKLY">"ACC_WKDummy,ACTUAL,Initial_Input,C_IFRS,FM_TNTC,LC,IFM_ALL,2007.w37,YTD,"</definedName>
    <definedName name="EV__LOCKEDCVW__WEEKLY_EXPRESS">"ME_PL,ACTUAL,Initial_Input,C_IFRS,FM_TNTC,P_EXP,LC,IFM_ALL,2003.TOTAL,PERIODIC,"</definedName>
    <definedName name="EV__LOCKEDCVW__WEEKLY_INTMAIL">"MI_PL,ACTUAL,Initial_Input,C_IFRS,FM_TNTC,LC,IFM_ALL,P_IM,2003.TOTAL,PERIODIC,"</definedName>
    <definedName name="EV__LOCKEDCVW__WEEKLY_LOGISTICS">"ml_EBITA,AC_ALL,ACTUAL,Initial_Input,C_IFRS,FM_TNTC,LC,IFM_ALL,SE_ALL,2003.TOTAL,PERIODIC,"</definedName>
    <definedName name="EV__LOCKSTATUS__">2</definedName>
    <definedName name="EV__MAXEXPCOLS__">100</definedName>
    <definedName name="EV__MAXEXPROWS__">2000</definedName>
    <definedName name="EV__MEMORYCVW__">0</definedName>
    <definedName name="EV__WBEVMODE__">1</definedName>
    <definedName name="EV__WBREFOPTIONS__">134217728</definedName>
    <definedName name="EV__WBVERSION__">0</definedName>
    <definedName name="Eval_btn_Ans">'[76]Non-Statistical Sampling'!$AR$12</definedName>
    <definedName name="Eval_MR">'[76]Non-Statistical Sampling'!$Y$20</definedName>
    <definedName name="EVDESCRIPTION">#VALUE!</definedName>
    <definedName name="EVMAXHIER">3</definedName>
    <definedName name="EVPRINTHIER">"1, 2, 3"</definedName>
    <definedName name="EVSEPARATE">FALSE</definedName>
    <definedName name="ew">'[77]Non-Statistical Sampling Master'!$C$63</definedName>
    <definedName name="ewq">[78]基本参数!$A$4</definedName>
    <definedName name="ExactAddinConnection">"002"</definedName>
    <definedName name="ExactAddinConnection.001">"rscdb001;001;rs0023;1"</definedName>
    <definedName name="ExactAddinConnection.002">"rscdb001;002;rs0040;1"</definedName>
    <definedName name="excel">{#N/A,#N/A,FALSE,"AP-MEHK1 ";#N/A,#N/A,FALSE,"MEGBJ";#N/A,#N/A,FALSE,"MEGSH";#N/A,#N/A,FALSE,"MEGGZ "}</definedName>
    <definedName name="Exchange">'[79]Exchange_Rate &amp; Costs'!$A$3:$C$6</definedName>
    <definedName name="Exchange_Euro">[80]fee_tabel!$A$32:$D$53</definedName>
    <definedName name="Exchange1">'[81]Exchange_Rate &amp; Costs'!$A$3:$C$6</definedName>
    <definedName name="ExchangeARS1">'[79]Exchange_Rate &amp; Costs'!$A$9:$C$12</definedName>
    <definedName name="ExchangeARS3">'[81]Exchange_Rate &amp; Costs'!$A$9:$C$12</definedName>
    <definedName name="EXPENSE">[75]Code!$D$60:$D$68</definedName>
    <definedName name="eydke">{#N/A,#N/A,FALSE,"970301";#N/A,#N/A,FALSE,"970302";#N/A,#N/A,FALSE,"970303";#N/A,#N/A,FALSE,"970304";#N/A,#N/A,FALSE,"COM1";#N/A,#N/A,FALSE,"COM2"}</definedName>
    <definedName name="E产品">[27]分产品销售收入、成本分析表!$A$84</definedName>
    <definedName name="f">[82]参数!$B$5</definedName>
    <definedName name="faif">{#N/A,#N/A,FALSE,"资产负债表";#N/A,#N/A,FALSE,"资产负债表"}</definedName>
    <definedName name="FAImpairment">[17]Criteria!$K$17:$K$18</definedName>
    <definedName name="fan">[83]参数!$A$5</definedName>
    <definedName name="FD_total_orders">'[55]Food delivery'!$58:$58</definedName>
    <definedName name="fdsf">{#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fdvfdv">{"FIX ASSETS PAGE 1",#N/A,TRUE,"FIXED ASSETS";"FIX ASSETS PAGE 2",#N/A,TRUE,"FIXED ASSETS";"FIX ASSETS PAGE 3",#N/A,TRUE,"FIXED ASSETS";"FIX ASSETS PAGE 4",#N/A,TRUE,"FIXED ASSETS";"FIX ASSETS PAGE 5",#N/A,TRUE,"FIXED ASSETS";"FIX ASSETS PAGE 6",#N/A,TRUE,"FIXED ASSETS";"FIX ASSETS PAGE 7",#N/A,TRUE,"FIXED ASSETS"}</definedName>
    <definedName name="fefwef">{"FIX ASSETS PAGE 1",#N/A,TRUE,"FIXED ASSETS";"FIX ASSETS PAGE 2",#N/A,TRUE,"FIXED ASSETS";"FIX ASSETS PAGE 3",#N/A,TRUE,"FIXED ASSETS";"FIX ASSETS PAGE 4",#N/A,TRUE,"FIXED ASSETS";"FIX ASSETS PAGE 5",#N/A,TRUE,"FIXED ASSETS";"FIX ASSETS PAGE 6",#N/A,TRUE,"FIXED ASSETS";"FIX ASSETS PAGE 7",#N/A,TRUE,"FIXED ASSETS"}</definedName>
    <definedName name="Février">'[22]Flash 2001'!#REF!,'[22]Flash 2001'!#REF!</definedName>
    <definedName name="FF">{"资产",#N/A,FALSE,"TB-BS"}</definedName>
    <definedName name="FG">[17]Criteria!$D$21:$D$22</definedName>
    <definedName name="FH">{"资产",#N/A,FALSE,"TB-BS"}</definedName>
    <definedName name="filename">RIGHT(CELL("filename"),LEN(CELL("filename"))-FIND("]",CELL("filename")))</definedName>
    <definedName name="Finance_2KA">#REF!</definedName>
    <definedName name="finyear">[44]Notes!$D$7</definedName>
    <definedName name="fix1999.dbf">#REF!</definedName>
    <definedName name="fix2000.dbf">#REF!</definedName>
    <definedName name="fixlj2000.dbf">#REF!</definedName>
    <definedName name="fjal">{"资产",#N/A,FALSE,"TB-BS"}</definedName>
    <definedName name="forecast1">'[84]Forecast Dec 06'!$B$6:$BA$281</definedName>
    <definedName name="FRC">[85]Main!$C$9</definedName>
    <definedName name="frst">#REF!,#REF!</definedName>
    <definedName name="FS">{#N/A,#N/A,FALSE,"CONTENTS";#N/A,#N/A,FALSE,"DR";#N/A,#N/A,FALSE,"PL";#N/A,#N/A,FALSE,"BS";#N/A,#N/A,FALSE,"Cash Flow";#N/A,#N/A,FALSE,"NOTES";#N/A,#N/A,FALSE,"NOTES (FA)";#N/A,#N/A,FALSE,"Notes(3)";#N/A,#N/A,FALSE,"NOTES (4)";#N/A,#N/A,FALSE,"DP&amp;L";#N/A,#N/A,FALSE,"EXPENSES";#N/A,#N/A,FALSE,"EXPENSES-1"}</definedName>
    <definedName name="fsds">#REF!</definedName>
    <definedName name="fsss">[86]工时统计!$A$1:$O$40</definedName>
    <definedName name="fuck">{"FIX ASSETS PAGE 1",#N/A,TRUE,"FIXED ASSETS";"FIX ASSETS PAGE 2",#N/A,TRUE,"FIXED ASSETS";"FIX ASSETS PAGE 3",#N/A,TRUE,"FIXED ASSETS";"FIX ASSETS PAGE 4",#N/A,TRUE,"FIXED ASSETS";"FIX ASSETS PAGE 5",#N/A,TRUE,"FIXED ASSETS";"FIX ASSETS PAGE 6",#N/A,TRUE,"FIXED ASSETS";"FIX ASSETS PAGE 7",#N/A,TRUE,"FIXED ASSETS"}</definedName>
    <definedName name="FULBETEILLOOKUP">'[87]FULBETEIL-A'!$E$14:$T$43</definedName>
    <definedName name="FULFRANCELOOKUP">[87]FULFRANCE!$F$15:$V$150</definedName>
    <definedName name="FULMARCITILOOKUP">'[87]FUL CITIBANK'!$F$13:$U$42</definedName>
    <definedName name="FULMARDEPLOOKUP">'[88]FUL DE P'!$F$12:$U$61</definedName>
    <definedName name="FULMARFRLOOKUP">'[88]FUL FRANCE'!$F$13:$V$149</definedName>
    <definedName name="FULUK8LOOKUP">[30]FULUK8!$F$15:$P$50</definedName>
    <definedName name="fvb">{#N/A,#N/A,FALSE,"资产负债表";#N/A,#N/A,FALSE,"资产负债表"}</definedName>
    <definedName name="FY">1999</definedName>
    <definedName name="F产品">[27]分产品销售收入、成本分析表!$A$104</definedName>
    <definedName name="G">[57]参数!$B$7</definedName>
    <definedName name="G9IJGF">{#N/A,#N/A,FALSE,"资产负债表";#N/A,#N/A,FALSE,"资产负债表"}</definedName>
    <definedName name="GBP">[89]plcisovera!$E$13:#REF!</definedName>
    <definedName name="gdds">[86]工时统计!$A$1:$Q$170</definedName>
    <definedName name="gdss">#REF!</definedName>
    <definedName name="gdzc">#REF!</definedName>
    <definedName name="gfhj">{"负债及权益",#N/A,FALSE,"TB-BS"}</definedName>
    <definedName name="ghyt">{#N/A,#N/A,FALSE,"AP-MEHK1 ";#N/A,#N/A,FALSE,"MEGBJ";#N/A,#N/A,FALSE,"MEGSH";#N/A,#N/A,FALSE,"MEGGZ "}</definedName>
    <definedName name="GIBVCZECH1LOOKUP">[32]GIBVCZECH1!$F$14:$P$145</definedName>
    <definedName name="GIBVCZECH2LOOKUP">[32]GIBVCZECH2!$F$15:$P$145</definedName>
    <definedName name="GIBVCZECH3LOOKUP">[32]GIBVCZECH3!$F$15:$P$145</definedName>
    <definedName name="GIBVCZECH4LOOKUP">[32]GIBVCZECH4!$F$15:$P$145</definedName>
    <definedName name="GIBVCZECH5LOOKUP">[32]GIBVCZECH5!$F$15:$P$147</definedName>
    <definedName name="GIBVROMANIALOOKUP">[32]BPBGBVROMANIA!$F$15:$P$138</definedName>
    <definedName name="GIBVRUSSIALOOKUP">[32]BGBVRUSSIA1!$F$13:$P$145</definedName>
    <definedName name="GILBPBGFEUR10MLOOKUP">[90]GILBPBGFEUR10M!$E$13:$P$56</definedName>
    <definedName name="GILBPBGFLOOKUP">[90]GILBPBGF!$F$13:$Q$56</definedName>
    <definedName name="glass">[91]U_price!$C$5:$H$30</definedName>
    <definedName name="GML">{#N/A,#N/A,FALSE,"목차";#N/A,#N/A,FALSE,"경영목표";#N/A,#N/A,FALSE,"팀별손익";#N/A,#N/A,FALSE,"총손익";#N/A,#N/A,FALSE,"제품별손익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oods_Payables">[75]Code!$D$46:$D$49</definedName>
    <definedName name="Goods_Receivables">[75]Code!$D$39:$D$42</definedName>
    <definedName name="GTFD">{"资产",#N/A,FALSE,"TB-BS"}</definedName>
    <definedName name="GTV_hotel">'[55]In-store, hotel &amp; travel'!$10:$10</definedName>
    <definedName name="GTV_ni">'[55]New initiatives'!$35:$35</definedName>
    <definedName name="G产品">[27]分产品销售收入、成本分析表!$A$124</definedName>
    <definedName name="H">#REF!</definedName>
    <definedName name="hadiah">{#N/A,#N/A,FALSE,"资产负债表";#N/A,#N/A,FALSE,"资产负债表"}</definedName>
    <definedName name="Header">#REF!</definedName>
    <definedName name="HELLO">{"M1Print",#N/A,TRUE,"M1";"M2Print",#N/A,TRUE,"M2";"M1sPrint",#N/A,TRUE,"M1s";"M2aPrint",#N/A,TRUE,"M2a";"M4Print",#N/A,TRUE,"M4";"M5Print",#N/A,TRUE,"M5";"M6Print",#N/A,TRUE,"M6";"M6_1Print",#N/A,TRUE,"M6_1";"M6_2Print",#N/A,TRUE,"M6_2";"M7_1Print",#N/A,TRUE,"M7_1";"M7_2Print",#N/A,TRUE,"M7_2"}</definedName>
    <definedName name="hgjh">{#N/A,#N/A,FALSE,"AP-MEHK1 ";#N/A,#N/A,FALSE,"MEGBJ";#N/A,#N/A,FALSE,"MEGSH";#N/A,#N/A,FALSE,"MEGGZ "}</definedName>
    <definedName name="hhh">{#N/A,#N/A,FALSE,"목차";#N/A,#N/A,FALSE,"경영목표";#N/A,#N/A,FALSE,"팀별손익";#N/A,#N/A,FALSE,"총손익";#N/A,#N/A,FALSE,"제품별손익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HHJJU">{#N/A,#N/A,FALSE,"AP-MEHK1 ";#N/A,#N/A,FALSE,"MEGBJ";#N/A,#N/A,FALSE,"MEGSH";#N/A,#N/A,FALSE,"MEGGZ "}</definedName>
    <definedName name="hhos">"中山鸿兴柯式印务有限公司"</definedName>
    <definedName name="hhpp">"中山鸿兴印刷包装有限公司"</definedName>
    <definedName name="HJ">{#N/A,#N/A,FALSE,"AP-MEHK1 ";#N/A,#N/A,FALSE,"MEGBJ";#N/A,#N/A,FALSE,"MEGSH";#N/A,#N/A,FALSE,"MEGGZ "}</definedName>
    <definedName name="hjf">{#N/A,#N/A,FALSE,"AP-MEHK1 ";#N/A,#N/A,FALSE,"MEGBJ";#N/A,#N/A,FALSE,"MEGSH";#N/A,#N/A,FALSE,"MEGGZ "}</definedName>
    <definedName name="hostfee">'[92]Financ. Overview'!$H$12</definedName>
    <definedName name="hte">{#N/A,#N/A,FALSE,"AP-MEHK1 ";#N/A,#N/A,FALSE,"MEGBJ";#N/A,#N/A,FALSE,"MEGSH";#N/A,#N/A,FALSE,"MEGGZ "}</definedName>
    <definedName name="html">{"'Sheet1'!$A$1:$J$57","'Sheet1'!$F$32:$F$35","'Sheet1'!$F$32:$F$36"}</definedName>
    <definedName name="HTML_CodePage">874</definedName>
    <definedName name="HTML_Control">{"'Sheet3 (2)'!$D$43:$E$46"}</definedName>
    <definedName name="HTML_Description">""</definedName>
    <definedName name="HTML_Email">""</definedName>
    <definedName name="HTML_Header">"Sheet3 (2)"</definedName>
    <definedName name="HTML_LastUpdate">"30/10/2001"</definedName>
    <definedName name="HTML_LineAfter">FALSE</definedName>
    <definedName name="HTML_LineBefore">FALSE</definedName>
    <definedName name="HTML_Name">"pers8842"</definedName>
    <definedName name="HTML_OBDlg2">TRUE</definedName>
    <definedName name="HTML_OBDlg4">TRUE</definedName>
    <definedName name="HTML_OS">0</definedName>
    <definedName name="HTML_PathFile">"C:\WINDOWS\Desktop\MyHTML.htm"</definedName>
    <definedName name="HTML_Title">"CRT underattack"</definedName>
    <definedName name="HTML1_1">"'[$Isrs609.xls]Sheet2'!$A$3:$G$31"</definedName>
    <definedName name="HTML1_10">""</definedName>
    <definedName name="HTML1_11">1</definedName>
    <definedName name="HTML1_12">"C:\#data\#isab16\MyHTML.htm"</definedName>
    <definedName name="HTML1_2">1</definedName>
    <definedName name="HTML1_3">"Ranking of Entities"</definedName>
    <definedName name="HTML1_4">"by Descending TOTAL IS COSTS"</definedName>
    <definedName name="HTML1_5">"1996 Data"</definedName>
    <definedName name="HTML1_6">1</definedName>
    <definedName name="HTML1_7">1</definedName>
    <definedName name="HTML1_8">"11/14/96"</definedName>
    <definedName name="HTML1_9">"Michel Mercier"</definedName>
    <definedName name="HTML2_1">"'[$Isrs609.xls]Sheet2'!$A$4:$E$62"</definedName>
    <definedName name="HTML2_10">""</definedName>
    <definedName name="HTML2_11">1</definedName>
    <definedName name="HTML2_12">"C:\WEB\MyHTML.htm"</definedName>
    <definedName name="HTML2_2">1</definedName>
    <definedName name="HTML2_3">"RANKING"</definedName>
    <definedName name="HTML2_4">"Sheet2"</definedName>
    <definedName name="HTML2_5">""</definedName>
    <definedName name="HTML2_6">1</definedName>
    <definedName name="HTML2_7">1</definedName>
    <definedName name="HTML2_8">"11/14/96"</definedName>
    <definedName name="HTML2_9">"Michel Mercier"</definedName>
    <definedName name="HTML3_1">"'[$Isrs609.xls]Sheet2'!$A$1:$F$66"</definedName>
    <definedName name="HTML3_10">""</definedName>
    <definedName name="HTML3_11">1</definedName>
    <definedName name="HTML3_12">"C:\Web\MyHTML.htm"</definedName>
    <definedName name="HTML3_2">1</definedName>
    <definedName name="HTML3_3">""</definedName>
    <definedName name="HTML3_4">""</definedName>
    <definedName name="HTML3_5">""</definedName>
    <definedName name="HTML3_6">-4146</definedName>
    <definedName name="HTML3_7">-4146</definedName>
    <definedName name="HTML3_8">"11/14/96"</definedName>
    <definedName name="HTML3_9">"Michel Mercier"</definedName>
    <definedName name="HTML4_1">"'[$Isrs609.xls]Sheet2'!$A$1:$D$62"</definedName>
    <definedName name="HTML4_10">""</definedName>
    <definedName name="HTML4_11">1</definedName>
    <definedName name="HTML4_12">"C:\Web\MyHTML.htm"</definedName>
    <definedName name="HTML4_2">1</definedName>
    <definedName name="HTML4_3">""</definedName>
    <definedName name="HTML4_4">"RANKING OF I/S ENTITIES"</definedName>
    <definedName name="HTML4_5">"L indicates a Large Operating Entity with Sales &gt; $150 million
M indicates a Medium Operating Entity with Sales &lt; $150 million
S indicates a Small Operating Entity with Sales &lt; $50 million"</definedName>
    <definedName name="HTML4_6">-4146</definedName>
    <definedName name="HTML4_7">-4146</definedName>
    <definedName name="HTML4_8">"11/14/96"</definedName>
    <definedName name="HTML4_9">"Michel Mercier"</definedName>
    <definedName name="HTML5_1">"'[$Isrs609.xls]Sheet2'!$A$1:$D$66"</definedName>
    <definedName name="HTML5_10">""</definedName>
    <definedName name="HTML5_11">1</definedName>
    <definedName name="HTML5_12">"C:\Web\MyHTML.htm"</definedName>
    <definedName name="HTML5_2">1</definedName>
    <definedName name="HTML5_3">"Ranking IS Entities"</definedName>
    <definedName name="HTML5_4">"RANKING OF I/S ENTITIES"</definedName>
    <definedName name="HTML5_5">""</definedName>
    <definedName name="HTML5_6">1</definedName>
    <definedName name="HTML5_7">1</definedName>
    <definedName name="HTML5_8">"11/14/96"</definedName>
    <definedName name="HTML5_9">"Michel Mercier"</definedName>
    <definedName name="HTML6_1">"'[$Isrs609.xls]Sheet2'!$A$1:$D$65"</definedName>
    <definedName name="HTML6_10">""</definedName>
    <definedName name="HTML6_11">1</definedName>
    <definedName name="HTML6_12">"C:\Web\MyHTML.htm"</definedName>
    <definedName name="HTML6_2">1</definedName>
    <definedName name="HTML6_3">"Ranking IS Entities"</definedName>
    <definedName name="HTML6_4">"RANKING OF I/S ENTITIES"</definedName>
    <definedName name="HTML6_5">""</definedName>
    <definedName name="HTML6_6">-4146</definedName>
    <definedName name="HTML6_7">-4146</definedName>
    <definedName name="HTML6_8">"11/14/96"</definedName>
    <definedName name="HTML6_9">"Michel Mercier"</definedName>
    <definedName name="HTMLCount">6</definedName>
    <definedName name="hueoa">{#N/A,#N/A,FALSE,"资产负债表";#N/A,#N/A,FALSE,"资产负债表"}</definedName>
    <definedName name="hungplceur2">'[93]SUMMARY ALL CO''S'!#REF!</definedName>
    <definedName name="HWSheet">1</definedName>
    <definedName name="H产品">[27]分产品销售收入、成本分析表!$A$144</definedName>
    <definedName name="iepw">{"'Sheet1'!$A$1:$J$57","'Sheet1'!$F$32:$F$35","'Sheet1'!$F$32:$F$36"}</definedName>
    <definedName name="iepw2">{"'Sheet1'!$A$1:$J$57","'Sheet1'!$F$32:$F$35","'Sheet1'!$F$32:$F$36"}</definedName>
    <definedName name="ieu">{"现金主表",#N/A,FALSE,"正式Cashflow"}</definedName>
    <definedName name="ihya">{"资产",#N/A,FALSE,"TB-BS"}</definedName>
    <definedName name="IK">{"现金主表",#N/A,FALSE,"正式Cashflow"}</definedName>
    <definedName name="imp_2">'[94]50PG Sales'!#REF!</definedName>
    <definedName name="imp_4">'[94]50PG Margins'!#REF!</definedName>
    <definedName name="In_store_TR">'[55]In-store, hotel &amp; travel'!$296:$296</definedName>
    <definedName name="INDFRLOOKUP">'[87]PLC FRANCE'!$F$25:$P$150</definedName>
    <definedName name="INDITALIALOOKUP">[95]plcitalia!$G$33:$R$122</definedName>
    <definedName name="info">#REF!</definedName>
    <definedName name="Intangible">[17]Criteria!$H$21:$H$22</definedName>
    <definedName name="InventoryProvision">[17]Criteria!$E$21:$E$22</definedName>
    <definedName name="INVSBPBGBV1LOOKUP">[95]invsbpbgbv1!$F$12:$Q$45</definedName>
    <definedName name="IQ_1_4_CONSTRUCTION_GROSS_LOANS_FFIEC">"c13402"</definedName>
    <definedName name="IQ_1_4_CONSTRUCTION_LL_REC_DOM_FFIEC">"c12899"</definedName>
    <definedName name="IQ_1_4_CONSTRUCTION_LOAN_COMMITMENTS_UNUSED_FFIEC">"c13244"</definedName>
    <definedName name="IQ_1_4_CONSTRUCTION_LOANS_DUE_30_89_FFIEC">"c13257"</definedName>
    <definedName name="IQ_1_4_CONSTRUCTION_LOANS_DUE_90_FFIEC">"c13285"</definedName>
    <definedName name="IQ_1_4_CONSTRUCTION_LOANS_NON_ACCRUAL_FFIEC">"c13311"</definedName>
    <definedName name="IQ_1_4_CONSTRUCTION_RISK_BASED_FFIEC">"c13423"</definedName>
    <definedName name="IQ_1_4_FAMILY_JUNIOR_LIENS_CHARGE_OFFS_FDIC">"c6605"</definedName>
    <definedName name="IQ_1_4_FAMILY_JUNIOR_LIENS_NET_CHARGE_OFFS_FDIC">"c6643"</definedName>
    <definedName name="IQ_1_4_FAMILY_JUNIOR_LIENS_RECOVERIES_FDIC">"c6624"</definedName>
    <definedName name="IQ_1_4_FAMILY_RES_DOM_FFIEC">"c15269"</definedName>
    <definedName name="IQ_1_4_FAMILY_SENIOR_LIENS_CHARGE_OFFS_FDIC">"c6604"</definedName>
    <definedName name="IQ_1_4_FAMILY_SENIOR_LIENS_NET_CHARGE_OFFS_FDIC">"c6642"</definedName>
    <definedName name="IQ_1_4_FAMILY_SENIOR_LIENS_RECOVERIES_FDIC">"c6623"</definedName>
    <definedName name="IQ_1_4_HOME_EQUITY_NET_LOANS_FDIC">"c6441"</definedName>
    <definedName name="IQ_1_4_RESIDENTIAL_FIRST_LIENS_NET_LOANS_FDIC">"c6439"</definedName>
    <definedName name="IQ_1_4_RESIDENTIAL_JUNIOR_LIENS_NET_LOANS_FDIC">"c6440"</definedName>
    <definedName name="IQ_1_4_RESIDENTIAL_LOANS_FDIC">"c6310"</definedName>
    <definedName name="IQ_30YR_FIXED_MORTGAGE">"c6811"</definedName>
    <definedName name="IQ_30YR_FIXED_MORTGAGE_FC">"c7691"</definedName>
    <definedName name="IQ_30YR_FIXED_MORTGAGE_POP">"c7031"</definedName>
    <definedName name="IQ_30YR_FIXED_MORTGAGE_POP_FC">"c7911"</definedName>
    <definedName name="IQ_30YR_FIXED_MORTGAGE_YOY">"c7251"</definedName>
    <definedName name="IQ_30YR_FIXED_MORTGAGE_YOY_FC">"c8131"</definedName>
    <definedName name="IQ_ABS_AVAIL_SALE_FFIEC">"c12802"</definedName>
    <definedName name="IQ_ABS_FFIEC">"c12788"</definedName>
    <definedName name="IQ_ABS_INVEST_SECURITIES_FFIEC">"c13461"</definedName>
    <definedName name="IQ_ABS_PERIOD">"c13823"</definedName>
    <definedName name="IQ_ACCEPTANCES_OTHER_FOREIGN_BANKS_LL_REC_FFIEC">"c15293"</definedName>
    <definedName name="IQ_ACCEPTANCES_OTHER_US_BANKS_LL_REC_FFIEC">"c15292"</definedName>
    <definedName name="IQ_ACCOUNT_CHANGE">"c1449"</definedName>
    <definedName name="IQ_ACCOUNTING_FFIEC">"c13054"</definedName>
    <definedName name="IQ_ACCOUNTING_STANDARD">"c4539"</definedName>
    <definedName name="IQ_ACCOUNTING_STANDARD_CIQ">"c5092"</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RUED_INTEREST_RECEIVABLE_FFIEC">"c12842"</definedName>
    <definedName name="IQ_ACCT_RECV_10YR_ANN_CAGR">"c6159"</definedName>
    <definedName name="IQ_ACCT_RECV_10YR_ANN_GROWTH">"c1924"</definedName>
    <definedName name="IQ_ACCT_RECV_1YR_ANN_GROWTH">"c1919"</definedName>
    <definedName name="IQ_ACCT_RECV_2YR_ANN_CAGR">"c6155"</definedName>
    <definedName name="IQ_ACCT_RECV_2YR_ANN_GROWTH">"c1920"</definedName>
    <definedName name="IQ_ACCT_RECV_3YR_ANN_CAGR">"c6156"</definedName>
    <definedName name="IQ_ACCT_RECV_3YR_ANN_GROWTH">"c1921"</definedName>
    <definedName name="IQ_ACCT_RECV_5YR_ANN_CAGR">"c6157"</definedName>
    <definedName name="IQ_ACCT_RECV_5YR_ANN_GROWTH">"c1922"</definedName>
    <definedName name="IQ_ACCT_RECV_7YR_ANN_CAGR">"c6158"</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RED_BY_REPORTING_BANK_FDIC">"c6535"</definedName>
    <definedName name="IQ_ACQUISITION_RE_ASSETS">"c1628"</definedName>
    <definedName name="IQ_ACTUAL_PRODUCTION_ALUM">"c9247"</definedName>
    <definedName name="IQ_ACTUAL_PRODUCTION_CATHODE_COP">"c9192"</definedName>
    <definedName name="IQ_ACTUAL_PRODUCTION_COAL">"c9821"</definedName>
    <definedName name="IQ_ACTUAL_PRODUCTION_COP">"c9191"</definedName>
    <definedName name="IQ_ACTUAL_PRODUCTION_DIAM">"c9671"</definedName>
    <definedName name="IQ_ACTUAL_PRODUCTION_GOLD">"c9032"</definedName>
    <definedName name="IQ_ACTUAL_PRODUCTION_IRON">"c9406"</definedName>
    <definedName name="IQ_ACTUAL_PRODUCTION_LEAD">"c9459"</definedName>
    <definedName name="IQ_ACTUAL_PRODUCTION_MANG">"c9512"</definedName>
    <definedName name="IQ_ACTUAL_PRODUCTION_MET_COAL">"c9761"</definedName>
    <definedName name="IQ_ACTUAL_PRODUCTION_MOLYB">"c9724"</definedName>
    <definedName name="IQ_ACTUAL_PRODUCTION_NICK">"c9300"</definedName>
    <definedName name="IQ_ACTUAL_PRODUCTION_PLAT">"c9138"</definedName>
    <definedName name="IQ_ACTUAL_PRODUCTION_SILVER">"c9085"</definedName>
    <definedName name="IQ_ACTUAL_PRODUCTION_STEAM">"c9791"</definedName>
    <definedName name="IQ_ACTUAL_PRODUCTION_TITAN">"c9565"</definedName>
    <definedName name="IQ_ACTUAL_PRODUCTION_URAN">"c9618"</definedName>
    <definedName name="IQ_ACTUAL_PRODUCTION_ZINC">"c9353"</definedName>
    <definedName name="IQ_AD">"c7"</definedName>
    <definedName name="IQ_ADD_PAID_IN">"c1344"</definedName>
    <definedName name="IQ_ADDIN">"AUTO"</definedName>
    <definedName name="IQ_ADDITIONAL_NON_INT_INC_FDIC">"c6574"</definedName>
    <definedName name="IQ_ADDITIONS_NON_ACCRUAL_ASSET_DURING_QTR_FFIEC">"c15349"</definedName>
    <definedName name="IQ_ADJ_AVG_BANK_ASSETS">"c2671"</definedName>
    <definedName name="IQ_ADJUSTABLE_RATE_LOANS_FDIC">"c6375"</definedName>
    <definedName name="IQ_ADJUSTED_NAV_COVERED">"c9963"</definedName>
    <definedName name="IQ_ADJUSTED_NAV_GROUP">"c9949"</definedName>
    <definedName name="IQ_ADMIN_RATIO">"c2784"</definedName>
    <definedName name="IQ_ADVERTISING">"c2246"</definedName>
    <definedName name="IQ_ADVERTISING_MARKETING">"c1566"</definedName>
    <definedName name="IQ_ADVERTISING_MARKETING_EXPENSES_FFIEC">"c13048"</definedName>
    <definedName name="IQ_AE">"c8"</definedName>
    <definedName name="IQ_AE_BNK">"c9"</definedName>
    <definedName name="IQ_AE_BR">"c10"</definedName>
    <definedName name="IQ_AE_FIN">"c11"</definedName>
    <definedName name="IQ_AE_INS">"c12"</definedName>
    <definedName name="IQ_AE_RE">"c6195"</definedName>
    <definedName name="IQ_AE_REIT">"c13"</definedName>
    <definedName name="IQ_AE_UTI">"c14"</definedName>
    <definedName name="IQ_AFFO">"c8756"</definedName>
    <definedName name="IQ_AFFO_PER_SHARE_BASIC">"c8869"</definedName>
    <definedName name="IQ_AFFO_PER_SHARE_DILUTED">"c8870"</definedName>
    <definedName name="IQ_AFS_INVEST_SECURITIES_FFIEC">"c13456"</definedName>
    <definedName name="IQ_AFS_SECURITIES_TIER_1_FFIEC">"c13343"</definedName>
    <definedName name="IQ_AFTER_TAX_INCOME_FDIC">"c6583"</definedName>
    <definedName name="IQ_AG_PROD_FARM_LOANS_DOM_QUARTERLY_AVG_FFIEC">"c15477"</definedName>
    <definedName name="IQ_AGENCY">"c8960"</definedName>
    <definedName name="IQ_AGENCY_INVEST_SECURITIES_FFIEC">"c13458"</definedName>
    <definedName name="IQ_AGG_CORPORATE_SHARES">"c13781"</definedName>
    <definedName name="IQ_AGG_CORPORATE_VALUE">"c13774"</definedName>
    <definedName name="IQ_AGG_ESOP_SHARES">"c13782"</definedName>
    <definedName name="IQ_AGG_ESOP_VALUE">"c13775"</definedName>
    <definedName name="IQ_AGG_FOUNDATION_SHARES">"c13783"</definedName>
    <definedName name="IQ_AGG_FOUNDATION_VALUE">"c13776"</definedName>
    <definedName name="IQ_AGG_HEDGEFUND_SHARES">"c13785"</definedName>
    <definedName name="IQ_AGG_HEDGEFUND_VALUE">"c13778"</definedName>
    <definedName name="IQ_AGG_INSIDER_SHARES">"c13780"</definedName>
    <definedName name="IQ_AGG_INSIDER_VALUE">"c13773"</definedName>
    <definedName name="IQ_AGG_INSTITUTIONAL_SHARES">"c13779"</definedName>
    <definedName name="IQ_AGG_INSTITUTIONAL_VALUE">"c13772"</definedName>
    <definedName name="IQ_AGG_OTHER_SHARES">"c13784"</definedName>
    <definedName name="IQ_AGG_OTHER_VALUE">"c13777"</definedName>
    <definedName name="IQ_AGRICULTURAL_GROSS_LOANS_FFIEC">"c13413"</definedName>
    <definedName name="IQ_AGRICULTURAL_LOANS_FOREIGN_FFIEC">"c13481"</definedName>
    <definedName name="IQ_AGRICULTURAL_PRODUCTION_CHARGE_OFFS_FDIC">"c6597"</definedName>
    <definedName name="IQ_AGRICULTURAL_PRODUCTION_CHARGE_OFFS_LESS_THAN_300M_FDIC">"c6655"</definedName>
    <definedName name="IQ_AGRICULTURAL_PRODUCTION_NET_CHARGE_OFFS_FDIC">"c6635"</definedName>
    <definedName name="IQ_AGRICULTURAL_PRODUCTION_NET_CHARGE_OFFS_LESS_THAN_300M_FDIC">"c6657"</definedName>
    <definedName name="IQ_AGRICULTURAL_PRODUCTION_RECOVERIES_FDIC">"c6616"</definedName>
    <definedName name="IQ_AGRICULTURAL_PRODUCTION_RECOVERIES_LESS_THAN_300M_FDIC">"c6656"</definedName>
    <definedName name="IQ_AGRICULTURAL_RISK_BASED_FFIEC">"c13434"</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AVG_PSGR_FARE">"c10029"</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NUMBER_HRS_FLOWN">"c10037"</definedName>
    <definedName name="IQ_AIR_NUMBER_OPERATING_AIRCRAFT_AVG">"c10035"</definedName>
    <definedName name="IQ_AIR_NUMBER_TRIPS_FLOWN">"c10030"</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EX_PER_ASK_EXCL_FUEL">"c10034"</definedName>
    <definedName name="IQ_AIR_OPEX_PER_ASM_EXCL_FUEL">"c10033"</definedName>
    <definedName name="IQ_AIR_OPTIONS">"c2837"</definedName>
    <definedName name="IQ_AIR_ORDERS">"c2836"</definedName>
    <definedName name="IQ_AIR_OWNED">"c2832"</definedName>
    <definedName name="IQ_AIR_PERCENTAGE_SALES_VIA_INTERNET">"c10036"</definedName>
    <definedName name="IQ_AIR_PSGR_HAUL_AVG_LENGTH_KM">"c10032"</definedName>
    <definedName name="IQ_AIR_PSGR_HAUL_AVG_LENGTH_MILES">"c10031"</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_OTHER_DEPOSITS_FOREIGN_DEP_FFIEC">"c15347"</definedName>
    <definedName name="IQ_ALL_OTHER_INVEST_UNCONSOL_SUBS_FFIEC">"c15275"</definedName>
    <definedName name="IQ_ALL_OTHER_LEASES_CHARGE_OFFS_FFIEC">"c13185"</definedName>
    <definedName name="IQ_ALL_OTHER_LEASES_RECOV_FFIEC">"c13207"</definedName>
    <definedName name="IQ_ALL_OTHER_LOANS_CHARGE_OFFS_FFIEC">"c13183"</definedName>
    <definedName name="IQ_ALL_OTHER_LOANS_RECOV_FFIEC">"c13205"</definedName>
    <definedName name="IQ_ALL_OTHER_TRADING_LIABILITIES_DOM_FFIEC">"c12942"</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_LL_LOSSES_FFIEC">"c12810"</definedName>
    <definedName name="IQ_ALLOWABLE_T2_CAPITAL_FFIEC">"c13150"</definedName>
    <definedName name="IQ_ALLOWANCE_10YR_ANN_CAGR">"c6035"</definedName>
    <definedName name="IQ_ALLOWANCE_10YR_ANN_GROWTH">"c18"</definedName>
    <definedName name="IQ_ALLOWANCE_1YR_ANN_GROWTH">"c19"</definedName>
    <definedName name="IQ_ALLOWANCE_2YR_ANN_CAGR">"c6036"</definedName>
    <definedName name="IQ_ALLOWANCE_2YR_ANN_GROWTH">"c20"</definedName>
    <definedName name="IQ_ALLOWANCE_3YR_ANN_CAGR">"c6037"</definedName>
    <definedName name="IQ_ALLOWANCE_3YR_ANN_GROWTH">"c21"</definedName>
    <definedName name="IQ_ALLOWANCE_5YR_ANN_CAGR">"c6038"</definedName>
    <definedName name="IQ_ALLOWANCE_5YR_ANN_GROWTH">"c22"</definedName>
    <definedName name="IQ_ALLOWANCE_7YR_ANN_CAGR">"c6039"</definedName>
    <definedName name="IQ_ALLOWANCE_7YR_ANN_GROWTH">"c23"</definedName>
    <definedName name="IQ_ALLOWANCE_CHARGE_OFFS">"c24"</definedName>
    <definedName name="IQ_ALLOWANCE_CREDIT_LOSSES_OFF_BS_FFIEC">"c12871"</definedName>
    <definedName name="IQ_ALLOWANCE_LL_LOSSES_T2_FFIEC">"c13146"</definedName>
    <definedName name="IQ_ALLOWANCE_NON_PERF_LOANS">"c25"</definedName>
    <definedName name="IQ_ALLOWANCE_TOTAL_LOANS">"c26"</definedName>
    <definedName name="IQ_AMENDED_BALANCE_PREVIOUS_YR_FDIC">"c6499"</definedName>
    <definedName name="IQ_AMORT_EXP_IMPAIRMENT_OTHER_INTANGIBLE_ASSETS_FFIEC">"c13026"</definedName>
    <definedName name="IQ_AMORT_EXPENSE_FDIC">"c6677"</definedName>
    <definedName name="IQ_AMORTIZATION">"c1591"</definedName>
    <definedName name="IQ_AMORTIZED_COST_FDIC">"c6426"</definedName>
    <definedName name="IQ_AMOUNT_FINANCIAL_LOC_CONVEYED_FFIEC">"c13250"</definedName>
    <definedName name="IQ_AMOUNT_PERFORMANCE_LOC_CONVEYED_FFIEC">"c13252"</definedName>
    <definedName name="IQ_AMT_OUT">"c2145"</definedName>
    <definedName name="IQ_ANALYST_DET_EST">"c12043"</definedName>
    <definedName name="IQ_ANALYST_DET_EST_CIQ">"c12103"</definedName>
    <definedName name="IQ_ANALYST_EMAIL">"c13738"</definedName>
    <definedName name="IQ_ANALYST_NAME">"c13736"</definedName>
    <definedName name="IQ_ANALYST_NON_PER_DET_EST">"c12755"</definedName>
    <definedName name="IQ_ANALYST_NON_PER_DET_EST_CIQ">"c12756"</definedName>
    <definedName name="IQ_ANALYST_PHONE">"c13737"</definedName>
    <definedName name="IQ_ANALYST_START_DATE">"c13740"</definedName>
    <definedName name="IQ_ANNU_DISTRIBUTION_UNIT">"c3004"</definedName>
    <definedName name="IQ_ANNUAL_PREMIUM_EQUIVALENT_NEW_BUSINESS">"c9972"</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NNUITY_SALES_FEES_COMMISSIONS_FFIEC">"c13007"</definedName>
    <definedName name="IQ_AP">"c32"</definedName>
    <definedName name="IQ_AP_BNK">"c33"</definedName>
    <definedName name="IQ_AP_BR">"c34"</definedName>
    <definedName name="IQ_AP_FIN">"c35"</definedName>
    <definedName name="IQ_AP_INS">"c36"</definedName>
    <definedName name="IQ_AP_RE">"c6196"</definedName>
    <definedName name="IQ_AP_REIT">"c37"</definedName>
    <definedName name="IQ_AP_UTI">"c38"</definedName>
    <definedName name="IQ_APIC">"c39"</definedName>
    <definedName name="IQ_APPLICABLE_INCOME_TAXES_FTE_FFIEC">"c13853"</definedName>
    <definedName name="IQ_AR">"c40"</definedName>
    <definedName name="IQ_AR_BR">"c41"</definedName>
    <definedName name="IQ_AR_LT">"c42"</definedName>
    <definedName name="IQ_AR_RE">"c6197"</definedName>
    <definedName name="IQ_AR_REIT">"c43"</definedName>
    <definedName name="IQ_AR_TURNS">"c44"</definedName>
    <definedName name="IQ_AR_UTI">"c45"</definedName>
    <definedName name="IQ_ARPU">"c2126"</definedName>
    <definedName name="IQ_ASSET_BACKED_FDIC">"c6301"</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"c6198"</definedName>
    <definedName name="IQ_ASSET_WRITEDOWN_CF_REIT">"c56"</definedName>
    <definedName name="IQ_ASSET_WRITEDOWN_CF_UTI">"c57"</definedName>
    <definedName name="IQ_ASSET_WRITEDOWN_FIN">"c58"</definedName>
    <definedName name="IQ_ASSET_WRITEDOWN_INS">"c59"</definedName>
    <definedName name="IQ_ASSET_WRITEDOWN_RE">"c6199"</definedName>
    <definedName name="IQ_ASSET_WRITEDOWN_REIT">"c60"</definedName>
    <definedName name="IQ_ASSET_WRITEDOWN_SUPPLE">"c13812"</definedName>
    <definedName name="IQ_ASSET_WRITEDOWN_UTI">"c61"</definedName>
    <definedName name="IQ_ASSETS_AP">"c8883"</definedName>
    <definedName name="IQ_ASSETS_AP_ABS">"c8902"</definedName>
    <definedName name="IQ_ASSETS_CAP_LEASE_DEPR">"c2068"</definedName>
    <definedName name="IQ_ASSETS_CAP_LEASE_GROSS">"c2069"</definedName>
    <definedName name="IQ_ASSETS_FAIR_VALUE">"c13843"</definedName>
    <definedName name="IQ_ASSETS_HELD_FDIC">"c6305"</definedName>
    <definedName name="IQ_ASSETS_LEVEL_1">"c13839"</definedName>
    <definedName name="IQ_ASSETS_LEVEL_2">"c13840"</definedName>
    <definedName name="IQ_ASSETS_LEVEL_3">"c13841"</definedName>
    <definedName name="IQ_ASSETS_NAME_AP">"c8921"</definedName>
    <definedName name="IQ_ASSETS_NAME_AP_ABS">"c8940"</definedName>
    <definedName name="IQ_ASSETS_NETTING_OTHER_ADJUSTMENTS">"c13842"</definedName>
    <definedName name="IQ_ASSETS_OPER_LEASE_DEPR">"c2070"</definedName>
    <definedName name="IQ_ASSETS_OPER_LEASE_GROSS">"c2071"</definedName>
    <definedName name="IQ_ASSETS_PER_EMPLOYEE_FDIC">"c6737"</definedName>
    <definedName name="IQ_ASSETS_REPRICE_ASSETS_TOT_FFIEC">"c13454"</definedName>
    <definedName name="IQ_ASSETS_SOLD_1_4_FAMILY_LOANS_FDIC">"c6686"</definedName>
    <definedName name="IQ_ASSETS_SOLD_AUTO_LOANS_FDIC">"c6680"</definedName>
    <definedName name="IQ_ASSETS_SOLD_CL_LOANS_FDIC">"c6681"</definedName>
    <definedName name="IQ_ASSETS_SOLD_CREDIT_CARDS_RECEIVABLES_FDIC">"c6683"</definedName>
    <definedName name="IQ_ASSETS_SOLD_HOME_EQUITY_LINES_FDIC">"c6684"</definedName>
    <definedName name="IQ_ASSETS_SOLD_OTHER_CONSUMER_LOANS_FDIC">"c6682"</definedName>
    <definedName name="IQ_ASSETS_SOLD_OTHER_LOANS_FDIC">"c6685"</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TM_FEES_FFIEC">"c13042"</definedName>
    <definedName name="IQ_ATM_INTERCHANGE_EXPENSES_FFIEC">"c13056"</definedName>
    <definedName name="IQ_AUDITOR_NAME">"c1539"</definedName>
    <definedName name="IQ_AUDITOR_OPINION">"c1540"</definedName>
    <definedName name="IQ_AUM">"c10043"</definedName>
    <definedName name="IQ_AUM_EQUITY_FUNDS">"c10039"</definedName>
    <definedName name="IQ_AUM_FIXED_INCOME_FUNDS">"c10040"</definedName>
    <definedName name="IQ_AUM_MONEY_MARKET_FUNDS">"c10041"</definedName>
    <definedName name="IQ_AUM_OTHER">"c10042"</definedName>
    <definedName name="IQ_AUTO_REGIST_NEW">"c6923"</definedName>
    <definedName name="IQ_AUTO_REGIST_NEW_APR">"c7583"</definedName>
    <definedName name="IQ_AUTO_REGIST_NEW_APR_FC">"c8463"</definedName>
    <definedName name="IQ_AUTO_REGIST_NEW_FC">"c7803"</definedName>
    <definedName name="IQ_AUTO_REGIST_NEW_POP">"c7143"</definedName>
    <definedName name="IQ_AUTO_REGIST_NEW_POP_FC">"c8023"</definedName>
    <definedName name="IQ_AUTO_REGIST_NEW_YOY">"c7363"</definedName>
    <definedName name="IQ_AUTO_REGIST_NEW_YOY_FC">"c8243"</definedName>
    <definedName name="IQ_AUTO_SALES_DOM">"c6852"</definedName>
    <definedName name="IQ_AUTO_SALES_DOM_APR">"c7512"</definedName>
    <definedName name="IQ_AUTO_SALES_DOM_APR_FC">"c8392"</definedName>
    <definedName name="IQ_AUTO_SALES_DOM_FC">"c7732"</definedName>
    <definedName name="IQ_AUTO_SALES_DOM_POP">"c7072"</definedName>
    <definedName name="IQ_AUTO_SALES_DOM_POP_FC">"c7952"</definedName>
    <definedName name="IQ_AUTO_SALES_DOM_YOY">"c7292"</definedName>
    <definedName name="IQ_AUTO_SALES_DOM_YOY_FC">"c8172"</definedName>
    <definedName name="IQ_AUTO_SALES_FOREIGN">"c6873"</definedName>
    <definedName name="IQ_AUTO_SALES_FOREIGN_APR">"c7533"</definedName>
    <definedName name="IQ_AUTO_SALES_FOREIGN_APR_FC">"c8413"</definedName>
    <definedName name="IQ_AUTO_SALES_FOREIGN_FC">"c7753"</definedName>
    <definedName name="IQ_AUTO_SALES_FOREIGN_POP">"c7093"</definedName>
    <definedName name="IQ_AUTO_SALES_FOREIGN_POP_FC">"c7973"</definedName>
    <definedName name="IQ_AUTO_SALES_FOREIGN_YOY">"c7313"</definedName>
    <definedName name="IQ_AUTO_SALES_FOREIGN_YOY_FC">"c8193"</definedName>
    <definedName name="IQ_AUTO_WRITTEN">"c62"</definedName>
    <definedName name="IQ_AVAIL_FOR_SALE_FAIR_VALUE_TOT_FFIEC">"c15399"</definedName>
    <definedName name="IQ_AVAIL_FOR_SALE_LEVEL_1_FFIEC">"c15421"</definedName>
    <definedName name="IQ_AVAIL_FOR_SALE_LEVEL_2_FFIEC">"c15434"</definedName>
    <definedName name="IQ_AVAIL_FOR_SALE_LEVEL_3_FFIEC">"c15447"</definedName>
    <definedName name="IQ_AVAILABLE_FOR_SALE_FDIC">"c6409"</definedName>
    <definedName name="IQ_AVAILABLE_SALE_SEC_FFIEC">"c12791"</definedName>
    <definedName name="IQ_AVERAGE_ASSETS_FDIC">"c6362"</definedName>
    <definedName name="IQ_AVERAGE_ASSETS_QUART_FDIC">"c6363"</definedName>
    <definedName name="IQ_AVERAGE_DEPOSITS">"c15256"</definedName>
    <definedName name="IQ_AVERAGE_EARNING_ASSETS_FDIC">"c6748"</definedName>
    <definedName name="IQ_AVERAGE_EQUITY_FDIC">"c6749"</definedName>
    <definedName name="IQ_AVERAGE_INTEREST_BEARING_DEPOSITS">"c15254"</definedName>
    <definedName name="IQ_AVERAGE_LOANS_FDIC">"c6750"</definedName>
    <definedName name="IQ_AVERAGE_LOANS_HFI">"c15251"</definedName>
    <definedName name="IQ_AVERAGE_LOANS_HFS">"c15252"</definedName>
    <definedName name="IQ_AVERAGE_NON_INTEREST_BEARING_DEPOSITS">"c15255"</definedName>
    <definedName name="IQ_AVG_BANK_ASSETS">"c2072"</definedName>
    <definedName name="IQ_AVG_BANK_LOANS">"c2073"</definedName>
    <definedName name="IQ_AVG_BROKER_REC">"c63"</definedName>
    <definedName name="IQ_AVG_BROKER_REC_CIQ">"c3612"</definedName>
    <definedName name="IQ_AVG_BROKER_REC_NO">"c64"</definedName>
    <definedName name="IQ_AVG_BROKER_REC_NO_CIQ">"c4657"</definedName>
    <definedName name="IQ_AVG_CALORIFIC_VALUE_COAL">"c9828"</definedName>
    <definedName name="IQ_AVG_CALORIFIC_VALUE_MET_COAL">"c9764"</definedName>
    <definedName name="IQ_AVG_CALORIFIC_VALUE_STEAM">"c9794"</definedName>
    <definedName name="IQ_AVG_DAILY_VOL">"c65"</definedName>
    <definedName name="IQ_AVG_EMPLOYEES">"c6019"</definedName>
    <definedName name="IQ_AVG_GRADE_ALUM">"c9254"</definedName>
    <definedName name="IQ_AVG_GRADE_COP">"c9201"</definedName>
    <definedName name="IQ_AVG_GRADE_DIAM">"c9678"</definedName>
    <definedName name="IQ_AVG_GRADE_GOLD">"c9039"</definedName>
    <definedName name="IQ_AVG_GRADE_IRON">"c9413"</definedName>
    <definedName name="IQ_AVG_GRADE_LEAD">"c9466"</definedName>
    <definedName name="IQ_AVG_GRADE_MANG">"c9519"</definedName>
    <definedName name="IQ_AVG_GRADE_MOLYB">"c9731"</definedName>
    <definedName name="IQ_AVG_GRADE_NICK">"c9307"</definedName>
    <definedName name="IQ_AVG_GRADE_PLAT">"c9145"</definedName>
    <definedName name="IQ_AVG_GRADE_SILVER">"c9092"</definedName>
    <definedName name="IQ_AVG_GRADE_TITAN">"c9572"</definedName>
    <definedName name="IQ_AVG_GRADE_URAN">"c9625"</definedName>
    <definedName name="IQ_AVG_GRADE_ZINC">"c9360"</definedName>
    <definedName name="IQ_AVG_INDUSTRY_REC">"c4455"</definedName>
    <definedName name="IQ_AVG_INDUSTRY_REC_CIQ">"c4984"</definedName>
    <definedName name="IQ_AVG_INDUSTRY_REC_NO">"c4454"</definedName>
    <definedName name="IQ_AVG_INDUSTRY_REC_NO_CIQ">"c4983"</definedName>
    <definedName name="IQ_AVG_INT_BEAR_LIAB">"c66"</definedName>
    <definedName name="IQ_AVG_INT_BEAR_LIAB_10YR_ANN_CAGR">"c6040"</definedName>
    <definedName name="IQ_AVG_INT_BEAR_LIAB_10YR_ANN_GROWTH">"c67"</definedName>
    <definedName name="IQ_AVG_INT_BEAR_LIAB_1YR_ANN_GROWTH">"c68"</definedName>
    <definedName name="IQ_AVG_INT_BEAR_LIAB_2YR_ANN_CAGR">"c6041"</definedName>
    <definedName name="IQ_AVG_INT_BEAR_LIAB_2YR_ANN_GROWTH">"c69"</definedName>
    <definedName name="IQ_AVG_INT_BEAR_LIAB_3YR_ANN_CAGR">"c6042"</definedName>
    <definedName name="IQ_AVG_INT_BEAR_LIAB_3YR_ANN_GROWTH">"c70"</definedName>
    <definedName name="IQ_AVG_INT_BEAR_LIAB_5YR_ANN_CAGR">"c6043"</definedName>
    <definedName name="IQ_AVG_INT_BEAR_LIAB_5YR_ANN_GROWTH">"c71"</definedName>
    <definedName name="IQ_AVG_INT_BEAR_LIAB_7YR_ANN_CAGR">"c6044"</definedName>
    <definedName name="IQ_AVG_INT_BEAR_LIAB_7YR_ANN_GROWTH">"c72"</definedName>
    <definedName name="IQ_AVG_INT_EARN_ASSETS">"c73"</definedName>
    <definedName name="IQ_AVG_INT_EARN_ASSETS_10YR_ANN_CAGR">"c6045"</definedName>
    <definedName name="IQ_AVG_INT_EARN_ASSETS_10YR_ANN_GROWTH">"c74"</definedName>
    <definedName name="IQ_AVG_INT_EARN_ASSETS_1YR_ANN_GROWTH">"c75"</definedName>
    <definedName name="IQ_AVG_INT_EARN_ASSETS_2YR_ANN_CAGR">"c6046"</definedName>
    <definedName name="IQ_AVG_INT_EARN_ASSETS_2YR_ANN_GROWTH">"c76"</definedName>
    <definedName name="IQ_AVG_INT_EARN_ASSETS_3YR_ANN_CAGR">"c6047"</definedName>
    <definedName name="IQ_AVG_INT_EARN_ASSETS_3YR_ANN_GROWTH">"c77"</definedName>
    <definedName name="IQ_AVG_INT_EARN_ASSETS_5YR_ANN_CAGR">"c6048"</definedName>
    <definedName name="IQ_AVG_INT_EARN_ASSETS_5YR_ANN_GROWTH">"c78"</definedName>
    <definedName name="IQ_AVG_INT_EARN_ASSETS_7YR_ANN_CAGR">"c6049"</definedName>
    <definedName name="IQ_AVG_INT_EARN_ASSETS_7YR_ANN_GROWTH">"c79"</definedName>
    <definedName name="IQ_AVG_MKTCAP">"c80"</definedName>
    <definedName name="IQ_AVG_PRICE">"c81"</definedName>
    <definedName name="IQ_AVG_PRODUCTION_PER_MINE_ALUM">"c9249"</definedName>
    <definedName name="IQ_AVG_PRODUCTION_PER_MINE_COAL">"c9823"</definedName>
    <definedName name="IQ_AVG_PRODUCTION_PER_MINE_COP">"c9194"</definedName>
    <definedName name="IQ_AVG_PRODUCTION_PER_MINE_DIAM">"c9673"</definedName>
    <definedName name="IQ_AVG_PRODUCTION_PER_MINE_GOLD">"c9034"</definedName>
    <definedName name="IQ_AVG_PRODUCTION_PER_MINE_IRON">"c9408"</definedName>
    <definedName name="IQ_AVG_PRODUCTION_PER_MINE_LEAD">"c9461"</definedName>
    <definedName name="IQ_AVG_PRODUCTION_PER_MINE_MANG">"c9514"</definedName>
    <definedName name="IQ_AVG_PRODUCTION_PER_MINE_MOLYB">"c9726"</definedName>
    <definedName name="IQ_AVG_PRODUCTION_PER_MINE_NICK">"c9302"</definedName>
    <definedName name="IQ_AVG_PRODUCTION_PER_MINE_PLAT">"c9140"</definedName>
    <definedName name="IQ_AVG_PRODUCTION_PER_MINE_SILVER">"c9087"</definedName>
    <definedName name="IQ_AVG_PRODUCTION_PER_MINE_TITAN">"c9567"</definedName>
    <definedName name="IQ_AVG_PRODUCTION_PER_MINE_URAN">"c9620"</definedName>
    <definedName name="IQ_AVG_PRODUCTION_PER_MINE_ZINC">"c9355"</definedName>
    <definedName name="IQ_AVG_REAL_PRICE_POST_TREAT_REFINING_ALUM">"c9259"</definedName>
    <definedName name="IQ_AVG_REAL_PRICE_POST_TREAT_REFINING_COP">"c9206"</definedName>
    <definedName name="IQ_AVG_REAL_PRICE_POST_TREAT_REFINING_DIAM">"c9683"</definedName>
    <definedName name="IQ_AVG_REAL_PRICE_POST_TREAT_REFINING_GOLD">"c9044"</definedName>
    <definedName name="IQ_AVG_REAL_PRICE_POST_TREAT_REFINING_IRON">"c9418"</definedName>
    <definedName name="IQ_AVG_REAL_PRICE_POST_TREAT_REFINING_LEAD">"c9471"</definedName>
    <definedName name="IQ_AVG_REAL_PRICE_POST_TREAT_REFINING_MANG">"c9524"</definedName>
    <definedName name="IQ_AVG_REAL_PRICE_POST_TREAT_REFINING_MOLYB">"c9736"</definedName>
    <definedName name="IQ_AVG_REAL_PRICE_POST_TREAT_REFINING_NICK">"c9311"</definedName>
    <definedName name="IQ_AVG_REAL_PRICE_POST_TREAT_REFINING_PLAT">"c9150"</definedName>
    <definedName name="IQ_AVG_REAL_PRICE_POST_TREAT_REFINING_SILVER">"c9097"</definedName>
    <definedName name="IQ_AVG_REAL_PRICE_POST_TREAT_REFINING_TITAN">"c9577"</definedName>
    <definedName name="IQ_AVG_REAL_PRICE_POST_TREAT_REFINING_URAN">"c9630"</definedName>
    <definedName name="IQ_AVG_REAL_PRICE_POST_TREAT_REFINING_ZINC">"c9365"</definedName>
    <definedName name="IQ_AVG_REAL_PRICE_PRE_TREAT_REFINING_ALUM">"c9258"</definedName>
    <definedName name="IQ_AVG_REAL_PRICE_PRE_TREAT_REFINING_COP">"c9205"</definedName>
    <definedName name="IQ_AVG_REAL_PRICE_PRE_TREAT_REFINING_DIAM">"c9682"</definedName>
    <definedName name="IQ_AVG_REAL_PRICE_PRE_TREAT_REFINING_GOLD">"c9043"</definedName>
    <definedName name="IQ_AVG_REAL_PRICE_PRE_TREAT_REFINING_IRON">"c9417"</definedName>
    <definedName name="IQ_AVG_REAL_PRICE_PRE_TREAT_REFINING_LEAD">"c9470"</definedName>
    <definedName name="IQ_AVG_REAL_PRICE_PRE_TREAT_REFINING_MANG">"c9523"</definedName>
    <definedName name="IQ_AVG_REAL_PRICE_PRE_TREAT_REFINING_MOLYB">"c9735"</definedName>
    <definedName name="IQ_AVG_REAL_PRICE_PRE_TREAT_REFINING_NICK">"c9312"</definedName>
    <definedName name="IQ_AVG_REAL_PRICE_PRE_TREAT_REFINING_PLAT">"c9149"</definedName>
    <definedName name="IQ_AVG_REAL_PRICE_PRE_TREAT_REFINING_SILVER">"c9096"</definedName>
    <definedName name="IQ_AVG_REAL_PRICE_PRE_TREAT_REFINING_TITAN">"c9576"</definedName>
    <definedName name="IQ_AVG_REAL_PRICE_PRE_TREAT_REFINING_URAN">"c9629"</definedName>
    <definedName name="IQ_AVG_REAL_PRICE_PRE_TREAT_REFINING_ZINC">"c9364"</definedName>
    <definedName name="IQ_AVG_REALIZED_PRICE_AFTER_HEDGING_ALUM">"c9257"</definedName>
    <definedName name="IQ_AVG_REALIZED_PRICE_AFTER_HEDGING_COAL">"c9830"</definedName>
    <definedName name="IQ_AVG_REALIZED_PRICE_AFTER_HEDGING_COP">"c9204"</definedName>
    <definedName name="IQ_AVG_REALIZED_PRICE_AFTER_HEDGING_DIAM">"c9681"</definedName>
    <definedName name="IQ_AVG_REALIZED_PRICE_AFTER_HEDGING_GOLD">"c9042"</definedName>
    <definedName name="IQ_AVG_REALIZED_PRICE_AFTER_HEDGING_IRON">"c9416"</definedName>
    <definedName name="IQ_AVG_REALIZED_PRICE_AFTER_HEDGING_LEAD">"c9469"</definedName>
    <definedName name="IQ_AVG_REALIZED_PRICE_AFTER_HEDGING_MANG">"c9522"</definedName>
    <definedName name="IQ_AVG_REALIZED_PRICE_AFTER_HEDGING_MET_COAL">"c9766"</definedName>
    <definedName name="IQ_AVG_REALIZED_PRICE_AFTER_HEDGING_MOLYB">"c9734"</definedName>
    <definedName name="IQ_AVG_REALIZED_PRICE_AFTER_HEDGING_NICK">"c9310"</definedName>
    <definedName name="IQ_AVG_REALIZED_PRICE_AFTER_HEDGING_PLAT">"c9148"</definedName>
    <definedName name="IQ_AVG_REALIZED_PRICE_AFTER_HEDGING_SILVER">"c9095"</definedName>
    <definedName name="IQ_AVG_REALIZED_PRICE_AFTER_HEDGING_STEAM">"c9796"</definedName>
    <definedName name="IQ_AVG_REALIZED_PRICE_AFTER_HEDGING_TITAN">"c9575"</definedName>
    <definedName name="IQ_AVG_REALIZED_PRICE_AFTER_HEDGING_URAN">"c9628"</definedName>
    <definedName name="IQ_AVG_REALIZED_PRICE_AFTER_HEDGING_ZINC">"c9363"</definedName>
    <definedName name="IQ_AVG_REALIZED_PRICE_BEFORE_HEDGING_ALUM">"c9256"</definedName>
    <definedName name="IQ_AVG_REALIZED_PRICE_BEFORE_HEDGING_COAL">"c9829"</definedName>
    <definedName name="IQ_AVG_REALIZED_PRICE_BEFORE_HEDGING_COP">"c9203"</definedName>
    <definedName name="IQ_AVG_REALIZED_PRICE_BEFORE_HEDGING_DIAM">"c9680"</definedName>
    <definedName name="IQ_AVG_REALIZED_PRICE_BEFORE_HEDGING_GOLD">"c9041"</definedName>
    <definedName name="IQ_AVG_REALIZED_PRICE_BEFORE_HEDGING_IRON">"c9415"</definedName>
    <definedName name="IQ_AVG_REALIZED_PRICE_BEFORE_HEDGING_LEAD">"c9468"</definedName>
    <definedName name="IQ_AVG_REALIZED_PRICE_BEFORE_HEDGING_MANG">"c9521"</definedName>
    <definedName name="IQ_AVG_REALIZED_PRICE_BEFORE_HEDGING_MET_COAL">"c9765"</definedName>
    <definedName name="IQ_AVG_REALIZED_PRICE_BEFORE_HEDGING_MOLYB">"c9733"</definedName>
    <definedName name="IQ_AVG_REALIZED_PRICE_BEFORE_HEDGING_NICK">"c9309"</definedName>
    <definedName name="IQ_AVG_REALIZED_PRICE_BEFORE_HEDGING_PLAT">"c9147"</definedName>
    <definedName name="IQ_AVG_REALIZED_PRICE_BEFORE_HEDGING_SILVER">"c9094"</definedName>
    <definedName name="IQ_AVG_REALIZED_PRICE_BEFORE_HEDGING_STEAM">"c9795"</definedName>
    <definedName name="IQ_AVG_REALIZED_PRICE_BEFORE_HEDGING_TITAN">"c9574"</definedName>
    <definedName name="IQ_AVG_REALIZED_PRICE_BEFORE_HEDGING_URAN">"c9627"</definedName>
    <definedName name="IQ_AVG_REALIZED_PRICE_BEFORE_HEDGING_ZINC">"c9362"</definedName>
    <definedName name="IQ_AVG_SHAREOUTSTANDING">"c83"</definedName>
    <definedName name="IQ_AVG_TEMP_EMPLOYEES">"c6020"</definedName>
    <definedName name="IQ_AVG_TEV">"c84"</definedName>
    <definedName name="IQ_AVG_TOTAL_ASSETS_LEVERAGE_CAPITAL_FFIEC">"c13159"</definedName>
    <definedName name="IQ_AVG_TOTAL_ASSETS_LEVERAGE_RATIO_FFIEC">"c13154"</definedName>
    <definedName name="IQ_AVG_VOLUME">"c1346"</definedName>
    <definedName name="IQ_AVG_WAGES">"c6812"</definedName>
    <definedName name="IQ_AVG_WAGES_APR">"c7472"</definedName>
    <definedName name="IQ_AVG_WAGES_APR_FC">"c8352"</definedName>
    <definedName name="IQ_AVG_WAGES_FC">"c7692"</definedName>
    <definedName name="IQ_AVG_WAGES_POP">"c7032"</definedName>
    <definedName name="IQ_AVG_WAGES_POP_FC">"c7912"</definedName>
    <definedName name="IQ_AVG_WAGES_YOY">"c7252"</definedName>
    <definedName name="IQ_AVG_WAGES_YOY_FC">"c8132"</definedName>
    <definedName name="IQ_BALANCE_GOODS_APR_FC_UNUSED">"c8353"</definedName>
    <definedName name="IQ_BALANCE_GOODS_APR_FC_UNUSED_UNUSED_UNUSED">"c8353"</definedName>
    <definedName name="IQ_BALANCE_GOODS_APR_UNUSED">"c7473"</definedName>
    <definedName name="IQ_BALANCE_GOODS_APR_UNUSED_UNUSED_UNUSED">"c7473"</definedName>
    <definedName name="IQ_BALANCE_GOODS_FC_UNUSED">"c7693"</definedName>
    <definedName name="IQ_BALANCE_GOODS_FC_UNUSED_UNUSED_UNUSED">"c7693"</definedName>
    <definedName name="IQ_BALANCE_GOODS_POP_FC_UNUSED">"c7913"</definedName>
    <definedName name="IQ_BALANCE_GOODS_POP_FC_UNUSED_UNUSED_UNUSED">"c7913"</definedName>
    <definedName name="IQ_BALANCE_GOODS_POP_UNUSED">"c7033"</definedName>
    <definedName name="IQ_BALANCE_GOODS_POP_UNUSED_UNUSED_UNUSED">"c7033"</definedName>
    <definedName name="IQ_BALANCE_GOODS_REAL">"c6952"</definedName>
    <definedName name="IQ_BALANCE_GOODS_REAL_APR">"c7612"</definedName>
    <definedName name="IQ_BALANCE_GOODS_REAL_APR_FC">"c8492"</definedName>
    <definedName name="IQ_BALANCE_GOODS_REAL_FC">"c7832"</definedName>
    <definedName name="IQ_BALANCE_GOODS_REAL_POP">"c7172"</definedName>
    <definedName name="IQ_BALANCE_GOODS_REAL_POP_FC">"c8052"</definedName>
    <definedName name="IQ_BALANCE_GOODS_REAL_SAAR">"c6953"</definedName>
    <definedName name="IQ_BALANCE_GOODS_REAL_SAAR_APR">"c7613"</definedName>
    <definedName name="IQ_BALANCE_GOODS_REAL_SAAR_APR_FC">"c8493"</definedName>
    <definedName name="IQ_BALANCE_GOODS_REAL_SAAR_FC">"c7833"</definedName>
    <definedName name="IQ_BALANCE_GOODS_REAL_SAAR_POP">"c7173"</definedName>
    <definedName name="IQ_BALANCE_GOODS_REAL_SAAR_POP_FC">"c8053"</definedName>
    <definedName name="IQ_BALANCE_GOODS_REAL_SAAR_USD_APR_FC">"c11893"</definedName>
    <definedName name="IQ_BALANCE_GOODS_REAL_SAAR_USD_FC">"c11890"</definedName>
    <definedName name="IQ_BALANCE_GOODS_REAL_SAAR_USD_POP_FC">"c11891"</definedName>
    <definedName name="IQ_BALANCE_GOODS_REAL_SAAR_USD_YOY_FC">"c11892"</definedName>
    <definedName name="IQ_BALANCE_GOODS_REAL_SAAR_YOY">"c7393"</definedName>
    <definedName name="IQ_BALANCE_GOODS_REAL_SAAR_YOY_FC">"c8273"</definedName>
    <definedName name="IQ_BALANCE_GOODS_REAL_USD_APR_FC">"c11889"</definedName>
    <definedName name="IQ_BALANCE_GOODS_REAL_USD_FC">"c11886"</definedName>
    <definedName name="IQ_BALANCE_GOODS_REAL_USD_POP_FC">"c11887"</definedName>
    <definedName name="IQ_BALANCE_GOODS_REAL_USD_YOY_FC">"c11888"</definedName>
    <definedName name="IQ_BALANCE_GOODS_REAL_YOY">"c7392"</definedName>
    <definedName name="IQ_BALANCE_GOODS_REAL_YOY_FC">"c8272"</definedName>
    <definedName name="IQ_BALANCE_GOODS_SAAR">"c6814"</definedName>
    <definedName name="IQ_BALANCE_GOODS_SAAR_APR">"c7474"</definedName>
    <definedName name="IQ_BALANCE_GOODS_SAAR_APR_FC">"c8354"</definedName>
    <definedName name="IQ_BALANCE_GOODS_SAAR_FC">"c7694"</definedName>
    <definedName name="IQ_BALANCE_GOODS_SAAR_POP">"c7034"</definedName>
    <definedName name="IQ_BALANCE_GOODS_SAAR_POP_FC">"c7914"</definedName>
    <definedName name="IQ_BALANCE_GOODS_SAAR_USD_APR_FC">"c11762"</definedName>
    <definedName name="IQ_BALANCE_GOODS_SAAR_USD_FC">"c11759"</definedName>
    <definedName name="IQ_BALANCE_GOODS_SAAR_USD_POP_FC">"c11760"</definedName>
    <definedName name="IQ_BALANCE_GOODS_SAAR_USD_YOY_FC">"c11761"</definedName>
    <definedName name="IQ_BALANCE_GOODS_SAAR_YOY">"c7254"</definedName>
    <definedName name="IQ_BALANCE_GOODS_SAAR_YOY_FC">"c8134"</definedName>
    <definedName name="IQ_BALANCE_GOODS_UNUSED">"c6813"</definedName>
    <definedName name="IQ_BALANCE_GOODS_UNUSED_UNUSED_UNUSED">"c6813"</definedName>
    <definedName name="IQ_BALANCE_GOODS_USD_APR_FC">"c11758"</definedName>
    <definedName name="IQ_BALANCE_GOODS_USD_FC">"c11755"</definedName>
    <definedName name="IQ_BALANCE_GOODS_USD_POP_FC">"c11756"</definedName>
    <definedName name="IQ_BALANCE_GOODS_USD_YOY_FC">"c11757"</definedName>
    <definedName name="IQ_BALANCE_GOODS_YOY_FC_UNUSED">"c8133"</definedName>
    <definedName name="IQ_BALANCE_GOODS_YOY_FC_UNUSED_UNUSED_UNUSED">"c8133"</definedName>
    <definedName name="IQ_BALANCE_GOODS_YOY_UNUSED">"c7253"</definedName>
    <definedName name="IQ_BALANCE_GOODS_YOY_UNUSED_UNUSED_UNUSED">"c7253"</definedName>
    <definedName name="IQ_BALANCE_SERV_APR_FC_UNUSED">"c8355"</definedName>
    <definedName name="IQ_BALANCE_SERV_APR_FC_UNUSED_UNUSED_UNUSED">"c8355"</definedName>
    <definedName name="IQ_BALANCE_SERV_APR_UNUSED">"c7475"</definedName>
    <definedName name="IQ_BALANCE_SERV_APR_UNUSED_UNUSED_UNUSED">"c7475"</definedName>
    <definedName name="IQ_BALANCE_SERV_FC_UNUSED">"c7695"</definedName>
    <definedName name="IQ_BALANCE_SERV_FC_UNUSED_UNUSED_UNUSED">"c7695"</definedName>
    <definedName name="IQ_BALANCE_SERV_POP_FC_UNUSED">"c7915"</definedName>
    <definedName name="IQ_BALANCE_SERV_POP_FC_UNUSED_UNUSED_UNUSED">"c7915"</definedName>
    <definedName name="IQ_BALANCE_SERV_POP_UNUSED">"c7035"</definedName>
    <definedName name="IQ_BALANCE_SERV_POP_UNUSED_UNUSED_UNUSED">"c7035"</definedName>
    <definedName name="IQ_BALANCE_SERV_SAAR">"c6816"</definedName>
    <definedName name="IQ_BALANCE_SERV_SAAR_APR">"c7476"</definedName>
    <definedName name="IQ_BALANCE_SERV_SAAR_APR_FC">"c8356"</definedName>
    <definedName name="IQ_BALANCE_SERV_SAAR_FC">"c7696"</definedName>
    <definedName name="IQ_BALANCE_SERV_SAAR_POP">"c7036"</definedName>
    <definedName name="IQ_BALANCE_SERV_SAAR_POP_FC">"c7916"</definedName>
    <definedName name="IQ_BALANCE_SERV_SAAR_YOY">"c7256"</definedName>
    <definedName name="IQ_BALANCE_SERV_SAAR_YOY_FC">"c8136"</definedName>
    <definedName name="IQ_BALANCE_SERV_UNUSED">"c6815"</definedName>
    <definedName name="IQ_BALANCE_SERV_UNUSED_UNUSED_UNUSED">"c6815"</definedName>
    <definedName name="IQ_BALANCE_SERV_USD_APR_FC">"c11766"</definedName>
    <definedName name="IQ_BALANCE_SERV_USD_FC">"c11763"</definedName>
    <definedName name="IQ_BALANCE_SERV_USD_POP_FC">"c11764"</definedName>
    <definedName name="IQ_BALANCE_SERV_USD_YOY_FC">"c11765"</definedName>
    <definedName name="IQ_BALANCE_SERV_YOY_FC_UNUSED">"c8135"</definedName>
    <definedName name="IQ_BALANCE_SERV_YOY_FC_UNUSED_UNUSED_UNUSED">"c8135"</definedName>
    <definedName name="IQ_BALANCE_SERV_YOY_UNUSED">"c7255"</definedName>
    <definedName name="IQ_BALANCE_SERV_YOY_UNUSED_UNUSED_UNUSED">"c7255"</definedName>
    <definedName name="IQ_BALANCE_SERVICES_REAL">"c6954"</definedName>
    <definedName name="IQ_BALANCE_SERVICES_REAL_APR">"c7614"</definedName>
    <definedName name="IQ_BALANCE_SERVICES_REAL_APR_FC">"c8494"</definedName>
    <definedName name="IQ_BALANCE_SERVICES_REAL_FC">"c7834"</definedName>
    <definedName name="IQ_BALANCE_SERVICES_REAL_POP">"c7174"</definedName>
    <definedName name="IQ_BALANCE_SERVICES_REAL_POP_FC">"c8054"</definedName>
    <definedName name="IQ_BALANCE_SERVICES_REAL_SAAR">"c6955"</definedName>
    <definedName name="IQ_BALANCE_SERVICES_REAL_SAAR_APR">"c7615"</definedName>
    <definedName name="IQ_BALANCE_SERVICES_REAL_SAAR_APR_FC">"c8495"</definedName>
    <definedName name="IQ_BALANCE_SERVICES_REAL_SAAR_FC">"c7835"</definedName>
    <definedName name="IQ_BALANCE_SERVICES_REAL_SAAR_POP">"c7175"</definedName>
    <definedName name="IQ_BALANCE_SERVICES_REAL_SAAR_POP_FC">"c8055"</definedName>
    <definedName name="IQ_BALANCE_SERVICES_REAL_SAAR_YOY">"c7395"</definedName>
    <definedName name="IQ_BALANCE_SERVICES_REAL_SAAR_YOY_FC">"c8275"</definedName>
    <definedName name="IQ_BALANCE_SERVICES_REAL_USD_APR_FC">"c11897"</definedName>
    <definedName name="IQ_BALANCE_SERVICES_REAL_USD_FC">"c11894"</definedName>
    <definedName name="IQ_BALANCE_SERVICES_REAL_USD_POP_FC">"c11895"</definedName>
    <definedName name="IQ_BALANCE_SERVICES_REAL_USD_YOY_FC">"c11896"</definedName>
    <definedName name="IQ_BALANCE_SERVICES_REAL_YOY">"c7394"</definedName>
    <definedName name="IQ_BALANCE_SERVICES_REAL_YOY_FC">"c8274"</definedName>
    <definedName name="IQ_BALANCE_TRADE_APR_FC_UNUSED">"c8357"</definedName>
    <definedName name="IQ_BALANCE_TRADE_APR_FC_UNUSED_UNUSED_UNUSED">"c8357"</definedName>
    <definedName name="IQ_BALANCE_TRADE_APR_UNUSED">"c7477"</definedName>
    <definedName name="IQ_BALANCE_TRADE_APR_UNUSED_UNUSED_UNUSED">"c7477"</definedName>
    <definedName name="IQ_BALANCE_TRADE_FC_UNUSED">"c7697"</definedName>
    <definedName name="IQ_BALANCE_TRADE_FC_UNUSED_UNUSED_UNUSED">"c7697"</definedName>
    <definedName name="IQ_BALANCE_TRADE_POP_FC_UNUSED">"c7917"</definedName>
    <definedName name="IQ_BALANCE_TRADE_POP_FC_UNUSED_UNUSED_UNUSED">"c7917"</definedName>
    <definedName name="IQ_BALANCE_TRADE_POP_UNUSED">"c7037"</definedName>
    <definedName name="IQ_BALANCE_TRADE_POP_UNUSED_UNUSED_UNUSED">"c7037"</definedName>
    <definedName name="IQ_BALANCE_TRADE_REAL">"c6956"</definedName>
    <definedName name="IQ_BALANCE_TRADE_REAL_APR">"c7616"</definedName>
    <definedName name="IQ_BALANCE_TRADE_REAL_APR_FC">"c8496"</definedName>
    <definedName name="IQ_BALANCE_TRADE_REAL_FC">"c7836"</definedName>
    <definedName name="IQ_BALANCE_TRADE_REAL_POP">"c7176"</definedName>
    <definedName name="IQ_BALANCE_TRADE_REAL_POP_FC">"c8056"</definedName>
    <definedName name="IQ_BALANCE_TRADE_REAL_SAAR">"c6957"</definedName>
    <definedName name="IQ_BALANCE_TRADE_REAL_SAAR_APR">"c7617"</definedName>
    <definedName name="IQ_BALANCE_TRADE_REAL_SAAR_APR_FC">"c8497"</definedName>
    <definedName name="IQ_BALANCE_TRADE_REAL_SAAR_FC">"c7837"</definedName>
    <definedName name="IQ_BALANCE_TRADE_REAL_SAAR_POP">"c7177"</definedName>
    <definedName name="IQ_BALANCE_TRADE_REAL_SAAR_POP_FC">"c8057"</definedName>
    <definedName name="IQ_BALANCE_TRADE_REAL_SAAR_USD_APR_FC">"c11905"</definedName>
    <definedName name="IQ_BALANCE_TRADE_REAL_SAAR_USD_FC">"c11902"</definedName>
    <definedName name="IQ_BALANCE_TRADE_REAL_SAAR_USD_POP_FC">"c11903"</definedName>
    <definedName name="IQ_BALANCE_TRADE_REAL_SAAR_USD_YOY_FC">"c11904"</definedName>
    <definedName name="IQ_BALANCE_TRADE_REAL_SAAR_YOY">"c7397"</definedName>
    <definedName name="IQ_BALANCE_TRADE_REAL_SAAR_YOY_FC">"c8277"</definedName>
    <definedName name="IQ_BALANCE_TRADE_REAL_USD_APR_FC">"c11901"</definedName>
    <definedName name="IQ_BALANCE_TRADE_REAL_USD_FC">"c11898"</definedName>
    <definedName name="IQ_BALANCE_TRADE_REAL_USD_POP_FC">"c11899"</definedName>
    <definedName name="IQ_BALANCE_TRADE_REAL_USD_YOY_FC">"c11900"</definedName>
    <definedName name="IQ_BALANCE_TRADE_REAL_YOY">"c7396"</definedName>
    <definedName name="IQ_BALANCE_TRADE_REAL_YOY_FC">"c8276"</definedName>
    <definedName name="IQ_BALANCE_TRADE_SAAR">"c6818"</definedName>
    <definedName name="IQ_BALANCE_TRADE_SAAR_APR">"c7478"</definedName>
    <definedName name="IQ_BALANCE_TRADE_SAAR_APR_FC">"c8358"</definedName>
    <definedName name="IQ_BALANCE_TRADE_SAAR_FC">"c7698"</definedName>
    <definedName name="IQ_BALANCE_TRADE_SAAR_POP">"c7038"</definedName>
    <definedName name="IQ_BALANCE_TRADE_SAAR_POP_FC">"c7918"</definedName>
    <definedName name="IQ_BALANCE_TRADE_SAAR_USD_APR_FC">"c11774"</definedName>
    <definedName name="IQ_BALANCE_TRADE_SAAR_USD_FC">"c11771"</definedName>
    <definedName name="IQ_BALANCE_TRADE_SAAR_USD_POP_FC">"c11772"</definedName>
    <definedName name="IQ_BALANCE_TRADE_SAAR_USD_YOY_FC">"c11773"</definedName>
    <definedName name="IQ_BALANCE_TRADE_SAAR_YOY">"c7258"</definedName>
    <definedName name="IQ_BALANCE_TRADE_SAAR_YOY_FC">"c8138"</definedName>
    <definedName name="IQ_BALANCE_TRADE_UNUSED">"c6817"</definedName>
    <definedName name="IQ_BALANCE_TRADE_UNUSED_UNUSED_UNUSED">"c6817"</definedName>
    <definedName name="IQ_BALANCE_TRADE_USD_APR_FC">"c11770"</definedName>
    <definedName name="IQ_BALANCE_TRADE_USD_FC">"c11767"</definedName>
    <definedName name="IQ_BALANCE_TRADE_USD_POP_FC">"c11768"</definedName>
    <definedName name="IQ_BALANCE_TRADE_USD_YOY_FC">"c11769"</definedName>
    <definedName name="IQ_BALANCE_TRADE_YOY_FC_UNUSED">"c8137"</definedName>
    <definedName name="IQ_BALANCE_TRADE_YOY_FC_UNUSED_UNUSED_UNUSED">"c8137"</definedName>
    <definedName name="IQ_BALANCE_TRADE_YOY_UNUSED">"c7257"</definedName>
    <definedName name="IQ_BALANCE_TRADE_YOY_UNUSED_UNUSED_UNUSED">"c7257"</definedName>
    <definedName name="IQ_BALANCES_DUE_DEPOSITORY_INSTITUTIONS_FDIC">"c6389"</definedName>
    <definedName name="IQ_BALANCES_DUE_FOREIGN_FDIC">"c6391"</definedName>
    <definedName name="IQ_BALANCES_DUE_FRB_FDIC">"c6393"</definedName>
    <definedName name="IQ_BANK_BENEFICIARY_FDIC">"c6505"</definedName>
    <definedName name="IQ_BANK_DEBT">"c2544"</definedName>
    <definedName name="IQ_BANK_DEBT_PCT">"c2545"</definedName>
    <definedName name="IQ_BANK_GUARANTOR_FDIC">"c6506"</definedName>
    <definedName name="IQ_BANK_LOAN_LIST">"c13507"</definedName>
    <definedName name="IQ_BANK_PREMISES_FDIC">"c6329"</definedName>
    <definedName name="IQ_BANK_SECURITIZATION_1_4_FAMILY_LOANS_FDIC">"c6721"</definedName>
    <definedName name="IQ_BANK_SECURITIZATION_AUTO_LOANS_FDIC">"c6715"</definedName>
    <definedName name="IQ_BANK_SECURITIZATION_CL_LOANS_FDIC">"c6716"</definedName>
    <definedName name="IQ_BANK_SECURITIZATION_CREDIT_CARDS_RECEIVABLES_FDIC">"c6718"</definedName>
    <definedName name="IQ_BANK_SECURITIZATION_HOME_EQUITY_LINES_FDIC">"c6719"</definedName>
    <definedName name="IQ_BANK_SECURITIZATION_OTHER_CONSUMER_LOANS_FDIC">"c6717"</definedName>
    <definedName name="IQ_BANK_SECURITIZATION_OTHER_LOANS_FDIC">"c6720"</definedName>
    <definedName name="IQ_BANKING_FEES_OPERATING_INC_FFIEC">"c13386"</definedName>
    <definedName name="IQ_BANKS_FOREIGN_COUNTRIES_NON_TRANS_ACCTS_FFIEC">"c15326"</definedName>
    <definedName name="IQ_BANKS_FOREIGN_COUNTRIES_TOTAL_DEPOSITS_FDIC">"c6475"</definedName>
    <definedName name="IQ_BANKS_FOREIGN_COUNTRIES_TRANS_ACCTS_FFIEC">"c15318"</definedName>
    <definedName name="IQ_BASIC_EPS_EXCL">"c85"</definedName>
    <definedName name="IQ_BASIC_EPS_INCL">"c86"</definedName>
    <definedName name="IQ_BASIC_NORMAL_EPS">"c1592"</definedName>
    <definedName name="IQ_BASIC_OUTSTANDING_CURRENT_EST">"c4128"</definedName>
    <definedName name="IQ_BASIC_OUTSTANDING_CURRENT_EST_CIQ">"c4541"</definedName>
    <definedName name="IQ_BASIC_OUTSTANDING_CURRENT_HIGH_EST">"c4129"</definedName>
    <definedName name="IQ_BASIC_OUTSTANDING_CURRENT_HIGH_EST_CIQ">"c4542"</definedName>
    <definedName name="IQ_BASIC_OUTSTANDING_CURRENT_LOW_EST">"c4130"</definedName>
    <definedName name="IQ_BASIC_OUTSTANDING_CURRENT_LOW_EST_CIQ">"c4543"</definedName>
    <definedName name="IQ_BASIC_OUTSTANDING_CURRENT_MEDIAN_EST">"c4131"</definedName>
    <definedName name="IQ_BASIC_OUTSTANDING_CURRENT_MEDIAN_EST_CIQ">"c4544"</definedName>
    <definedName name="IQ_BASIC_OUTSTANDING_CURRENT_NUM_EST">"c4132"</definedName>
    <definedName name="IQ_BASIC_OUTSTANDING_CURRENT_NUM_EST_CIQ">"c4545"</definedName>
    <definedName name="IQ_BASIC_OUTSTANDING_CURRENT_STDDEV_EST">"c4133"</definedName>
    <definedName name="IQ_BASIC_OUTSTANDING_CURRENT_STDDEV_EST_CIQ">"c4546"</definedName>
    <definedName name="IQ_BASIC_OUTSTANDING_EST">"c4134"</definedName>
    <definedName name="IQ_BASIC_OUTSTANDING_EST_CIQ">"c4547"</definedName>
    <definedName name="IQ_BASIC_OUTSTANDING_HIGH_EST">"c4135"</definedName>
    <definedName name="IQ_BASIC_OUTSTANDING_HIGH_EST_CIQ">"c4548"</definedName>
    <definedName name="IQ_BASIC_OUTSTANDING_LOW_EST">"c4136"</definedName>
    <definedName name="IQ_BASIC_OUTSTANDING_LOW_EST_CIQ">"c4549"</definedName>
    <definedName name="IQ_BASIC_OUTSTANDING_MEDIAN_EST">"c4137"</definedName>
    <definedName name="IQ_BASIC_OUTSTANDING_MEDIAN_EST_CIQ">"c4550"</definedName>
    <definedName name="IQ_BASIC_OUTSTANDING_NUM_EST">"c4138"</definedName>
    <definedName name="IQ_BASIC_OUTSTANDING_NUM_EST_CIQ">"c4551"</definedName>
    <definedName name="IQ_BASIC_OUTSTANDING_STDDEV_EST">"c4139"</definedName>
    <definedName name="IQ_BASIC_OUTSTANDING_STDDEV_EST_CIQ">"c4552"</definedName>
    <definedName name="IQ_BASIC_WEIGHT">"c87"</definedName>
    <definedName name="IQ_BASIC_WEIGHT_EST">"c4140"</definedName>
    <definedName name="IQ_BASIC_WEIGHT_EST_CIQ">"c4553"</definedName>
    <definedName name="IQ_BASIC_WEIGHT_HIGH_EST">"c4142"</definedName>
    <definedName name="IQ_BASIC_WEIGHT_HIGH_EST_CIQ">"c4554"</definedName>
    <definedName name="IQ_BASIC_WEIGHT_LOW_EST">"c4143"</definedName>
    <definedName name="IQ_BASIC_WEIGHT_LOW_EST_CIQ">"c4555"</definedName>
    <definedName name="IQ_BASIC_WEIGHT_MEDIAN_EST">"c4144"</definedName>
    <definedName name="IQ_BASIC_WEIGHT_MEDIAN_EST_CIQ">"c4556"</definedName>
    <definedName name="IQ_BASIC_WEIGHT_NUM_EST">"c4145"</definedName>
    <definedName name="IQ_BASIC_WEIGHT_NUM_EST_CIQ">"c4557"</definedName>
    <definedName name="IQ_BASIC_WEIGHT_STDDEV_EST">"c4146"</definedName>
    <definedName name="IQ_BASIC_WEIGHT_STDDEV_EST_CIQ">"c4558"</definedName>
    <definedName name="IQ_BENCHMARK_SECURITY">"c2154"</definedName>
    <definedName name="IQ_BENCHMARK_SPRD">"c2153"</definedName>
    <definedName name="IQ_BENCHMARK_YIELD">"c8955"</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ASSISTANT_EMAIL">"c15179"</definedName>
    <definedName name="IQ_BOARD_MEMBER_ASSISTANT_FAX">"c15181"</definedName>
    <definedName name="IQ_BOARD_MEMBER_ASSISTANT_NAME">"c15178"</definedName>
    <definedName name="IQ_BOARD_MEMBER_ASSISTANT_PHONE">"c15180"</definedName>
    <definedName name="IQ_BOARD_MEMBER_BACKGROUND">"c2101"</definedName>
    <definedName name="IQ_BOARD_MEMBER_DIRECT_FAX">"c15176"</definedName>
    <definedName name="IQ_BOARD_MEMBER_DIRECT_PHONE">"c15175"</definedName>
    <definedName name="IQ_BOARD_MEMBER_EMAIL">"c15177"</definedName>
    <definedName name="IQ_BOARD_MEMBER_ID">"c13756"</definedName>
    <definedName name="IQ_BOARD_MEMBER_MAIN_FAX">"c15174"</definedName>
    <definedName name="IQ_BOARD_MEMBER_MAIN_PHONE">"c15173"</definedName>
    <definedName name="IQ_BOARD_MEMBER_OFFICE_ADDRESS">"c15172"</definedName>
    <definedName name="IQ_BOARD_MEMBER_TITLE">"c97"</definedName>
    <definedName name="IQ_BOND_COUPON">"c2183"</definedName>
    <definedName name="IQ_BOND_COUPON_TYPE">"c2184"</definedName>
    <definedName name="IQ_BOND_LIST">"c13505"</definedName>
    <definedName name="IQ_BOND_PRICE">"c2162"</definedName>
    <definedName name="IQ_BORROWED_MONEY_QUARTERLY_AVG_FFIEC">"c13091"</definedName>
    <definedName name="IQ_BORROWINGS_LESS_1YR_ASSETS_TOT_FFIEC">"c13450"</definedName>
    <definedName name="IQ_BROK_COMISSION">"c98"</definedName>
    <definedName name="IQ_BROK_COMMISSION">"c3514"</definedName>
    <definedName name="IQ_BROKER_DEPOSIT_LESS_THAN_100000_1_YR_LESS_FFIEC">"c15307"</definedName>
    <definedName name="IQ_BROKER_DEPOSIT_LESS_THAN_100000_1_YR_MORE_FFIEC">"c15308"</definedName>
    <definedName name="IQ_BROKER_DEPOSIT_LESS_THAN_100000_FFIEC">"c15306"</definedName>
    <definedName name="IQ_BROKER_DEPOSIT_MORE_THAN_100000_1_YR_LESS_FFIEC">"c15310"</definedName>
    <definedName name="IQ_BROKER_DEPOSIT_MORE_THAN_100000_1_YR_MORE_FFIEC">"c15311"</definedName>
    <definedName name="IQ_BROKER_DEPOSIT_MORE_THAN_100000_FFIEC">"c15309"</definedName>
    <definedName name="IQ_BROKERED_DEPOSITS_FDIC">"c6486"</definedName>
    <definedName name="IQ_BUDGET_BALANCE_APR_FC_UNUSED">"c8359"</definedName>
    <definedName name="IQ_BUDGET_BALANCE_APR_FC_UNUSED_UNUSED_UNUSED">"c8359"</definedName>
    <definedName name="IQ_BUDGET_BALANCE_APR_UNUSED">"c7479"</definedName>
    <definedName name="IQ_BUDGET_BALANCE_APR_UNUSED_UNUSED_UNUSED">"c7479"</definedName>
    <definedName name="IQ_BUDGET_BALANCE_FC_UNUSED">"c7699"</definedName>
    <definedName name="IQ_BUDGET_BALANCE_FC_UNUSED_UNUSED_UNUSED">"c7699"</definedName>
    <definedName name="IQ_BUDGET_BALANCE_POP_FC_UNUSED">"c7919"</definedName>
    <definedName name="IQ_BUDGET_BALANCE_POP_FC_UNUSED_UNUSED_UNUSED">"c7919"</definedName>
    <definedName name="IQ_BUDGET_BALANCE_POP_UNUSED">"c7039"</definedName>
    <definedName name="IQ_BUDGET_BALANCE_POP_UNUSED_UNUSED_UNUSED">"c7039"</definedName>
    <definedName name="IQ_BUDGET_BALANCE_SAAR">"c6820"</definedName>
    <definedName name="IQ_BUDGET_BALANCE_SAAR_APR">"c7480"</definedName>
    <definedName name="IQ_BUDGET_BALANCE_SAAR_APR_FC">"c8360"</definedName>
    <definedName name="IQ_BUDGET_BALANCE_SAAR_FC">"c7700"</definedName>
    <definedName name="IQ_BUDGET_BALANCE_SAAR_POP">"c7040"</definedName>
    <definedName name="IQ_BUDGET_BALANCE_SAAR_POP_FC">"c7920"</definedName>
    <definedName name="IQ_BUDGET_BALANCE_SAAR_YOY">"c7260"</definedName>
    <definedName name="IQ_BUDGET_BALANCE_SAAR_YOY_FC">"c8140"</definedName>
    <definedName name="IQ_BUDGET_BALANCE_UNUSED">"c6819"</definedName>
    <definedName name="IQ_BUDGET_BALANCE_UNUSED_UNUSED_UNUSED">"c6819"</definedName>
    <definedName name="IQ_BUDGET_BALANCE_YOY_FC_UNUSED">"c8139"</definedName>
    <definedName name="IQ_BUDGET_BALANCE_YOY_FC_UNUSED_UNUSED_UNUSED">"c8139"</definedName>
    <definedName name="IQ_BUDGET_BALANCE_YOY_UNUSED">"c7259"</definedName>
    <definedName name="IQ_BUDGET_BALANCE_YOY_UNUSED_UNUSED_UNUSED">"c7259"</definedName>
    <definedName name="IQ_BUDGET_RECEIPTS_APR_FC_UNUSED">"c8361"</definedName>
    <definedName name="IQ_BUDGET_RECEIPTS_APR_FC_UNUSED_UNUSED_UNUSED">"c8361"</definedName>
    <definedName name="IQ_BUDGET_RECEIPTS_APR_UNUSED">"c7481"</definedName>
    <definedName name="IQ_BUDGET_RECEIPTS_APR_UNUSED_UNUSED_UNUSED">"c7481"</definedName>
    <definedName name="IQ_BUDGET_RECEIPTS_FC_UNUSED">"c7701"</definedName>
    <definedName name="IQ_BUDGET_RECEIPTS_FC_UNUSED_UNUSED_UNUSED">"c7701"</definedName>
    <definedName name="IQ_BUDGET_RECEIPTS_POP_FC_UNUSED">"c7921"</definedName>
    <definedName name="IQ_BUDGET_RECEIPTS_POP_FC_UNUSED_UNUSED_UNUSED">"c7921"</definedName>
    <definedName name="IQ_BUDGET_RECEIPTS_POP_UNUSED">"c7041"</definedName>
    <definedName name="IQ_BUDGET_RECEIPTS_POP_UNUSED_UNUSED_UNUSED">"c7041"</definedName>
    <definedName name="IQ_BUDGET_RECEIPTS_UNUSED">"c6821"</definedName>
    <definedName name="IQ_BUDGET_RECEIPTS_UNUSED_UNUSED_UNUSED">"c6821"</definedName>
    <definedName name="IQ_BUDGET_RECEIPTS_YOY_FC_UNUSED">"c8141"</definedName>
    <definedName name="IQ_BUDGET_RECEIPTS_YOY_FC_UNUSED_UNUSED_UNUSED">"c8141"</definedName>
    <definedName name="IQ_BUDGET_RECEIPTS_YOY_UNUSED">"c7261"</definedName>
    <definedName name="IQ_BUDGET_RECEIPTS_YOY_UNUSED_UNUSED_UNUSED">"c7261"</definedName>
    <definedName name="IQ_BUDGET_SPENDING">"c6822"</definedName>
    <definedName name="IQ_BUDGET_SPENDING_APR">"c7482"</definedName>
    <definedName name="IQ_BUDGET_SPENDING_APR_FC">"c8362"</definedName>
    <definedName name="IQ_BUDGET_SPENDING_FC">"c7702"</definedName>
    <definedName name="IQ_BUDGET_SPENDING_POP">"c7042"</definedName>
    <definedName name="IQ_BUDGET_SPENDING_POP_FC">"c7922"</definedName>
    <definedName name="IQ_BUDGET_SPENDING_REAL">"c6958"</definedName>
    <definedName name="IQ_BUDGET_SPENDING_REAL_APR">"c7618"</definedName>
    <definedName name="IQ_BUDGET_SPENDING_REAL_APR_FC">"c8498"</definedName>
    <definedName name="IQ_BUDGET_SPENDING_REAL_FC">"c7838"</definedName>
    <definedName name="IQ_BUDGET_SPENDING_REAL_POP">"c7178"</definedName>
    <definedName name="IQ_BUDGET_SPENDING_REAL_POP_FC">"c8058"</definedName>
    <definedName name="IQ_BUDGET_SPENDING_REAL_SAAR">"c6959"</definedName>
    <definedName name="IQ_BUDGET_SPENDING_REAL_SAAR_APR">"c7619"</definedName>
    <definedName name="IQ_BUDGET_SPENDING_REAL_SAAR_APR_FC">"c8499"</definedName>
    <definedName name="IQ_BUDGET_SPENDING_REAL_SAAR_FC">"c7839"</definedName>
    <definedName name="IQ_BUDGET_SPENDING_REAL_SAAR_POP">"c7179"</definedName>
    <definedName name="IQ_BUDGET_SPENDING_REAL_SAAR_POP_FC">"c8059"</definedName>
    <definedName name="IQ_BUDGET_SPENDING_REAL_SAAR_USD">"c11906"</definedName>
    <definedName name="IQ_BUDGET_SPENDING_REAL_SAAR_USD_APR">"c11909"</definedName>
    <definedName name="IQ_BUDGET_SPENDING_REAL_SAAR_USD_POP">"c11907"</definedName>
    <definedName name="IQ_BUDGET_SPENDING_REAL_SAAR_USD_YOY">"c11908"</definedName>
    <definedName name="IQ_BUDGET_SPENDING_REAL_SAAR_YOY">"c7399"</definedName>
    <definedName name="IQ_BUDGET_SPENDING_REAL_SAAR_YOY_FC">"c8279"</definedName>
    <definedName name="IQ_BUDGET_SPENDING_REAL_YOY">"c7398"</definedName>
    <definedName name="IQ_BUDGET_SPENDING_REAL_YOY_FC">"c8278"</definedName>
    <definedName name="IQ_BUDGET_SPENDING_SAAR">"c6823"</definedName>
    <definedName name="IQ_BUDGET_SPENDING_SAAR_APR">"c7483"</definedName>
    <definedName name="IQ_BUDGET_SPENDING_SAAR_APR_FC">"c8363"</definedName>
    <definedName name="IQ_BUDGET_SPENDING_SAAR_FC">"c7703"</definedName>
    <definedName name="IQ_BUDGET_SPENDING_SAAR_POP">"c7043"</definedName>
    <definedName name="IQ_BUDGET_SPENDING_SAAR_POP_FC">"c7923"</definedName>
    <definedName name="IQ_BUDGET_SPENDING_SAAR_USD_APR_FC">"c11782"</definedName>
    <definedName name="IQ_BUDGET_SPENDING_SAAR_USD_FC">"c11779"</definedName>
    <definedName name="IQ_BUDGET_SPENDING_SAAR_USD_POP_FC">"c11780"</definedName>
    <definedName name="IQ_BUDGET_SPENDING_SAAR_USD_YOY_FC">"c11781"</definedName>
    <definedName name="IQ_BUDGET_SPENDING_SAAR_YOY">"c7263"</definedName>
    <definedName name="IQ_BUDGET_SPENDING_SAAR_YOY_FC">"c8143"</definedName>
    <definedName name="IQ_BUDGET_SPENDING_USD_APR_FC">"c11778"</definedName>
    <definedName name="IQ_BUDGET_SPENDING_USD_FC">"c11775"</definedName>
    <definedName name="IQ_BUDGET_SPENDING_USD_POP_FC">"c11776"</definedName>
    <definedName name="IQ_BUDGET_SPENDING_USD_YOY_FC">"c11777"</definedName>
    <definedName name="IQ_BUDGET_SPENDING_YOY">"c7262"</definedName>
    <definedName name="IQ_BUDGET_SPENDING_YOY_FC">"c8142"</definedName>
    <definedName name="IQ_BUILDINGS">"c99"</definedName>
    <definedName name="IQ_BUS_SEG_ASSETS">"c4067"</definedName>
    <definedName name="IQ_BUS_SEG_ASSETS_ABS">"c4089"</definedName>
    <definedName name="IQ_BUS_SEG_ASSETS_TOTAL">"c4112"</definedName>
    <definedName name="IQ_BUS_SEG_CAPEX">"c4079"</definedName>
    <definedName name="IQ_BUS_SEG_CAPEX_ABS">"c4101"</definedName>
    <definedName name="IQ_BUS_SEG_CAPEX_TOTAL">"c4116"</definedName>
    <definedName name="IQ_BUS_SEG_DA">"c4078"</definedName>
    <definedName name="IQ_BUS_SEG_DA_ABS">"c4100"</definedName>
    <definedName name="IQ_BUS_SEG_DA_TOTAL">"c4115"</definedName>
    <definedName name="IQ_BUS_SEG_EARNINGS_OP">"c4063"</definedName>
    <definedName name="IQ_BUS_SEG_EARNINGS_OP_ABS">"c4085"</definedName>
    <definedName name="IQ_BUS_SEG_EARNINGS_OP_TOTAL">"c4108"</definedName>
    <definedName name="IQ_BUS_SEG_EBT">"c4064"</definedName>
    <definedName name="IQ_BUS_SEG_EBT_ABS">"c4086"</definedName>
    <definedName name="IQ_BUS_SEG_EBT_TOTAL">"c4110"</definedName>
    <definedName name="IQ_BUS_SEG_GP">"c4066"</definedName>
    <definedName name="IQ_BUS_SEG_GP_ABS">"c4088"</definedName>
    <definedName name="IQ_BUS_SEG_GP_TOTAL">"c4109"</definedName>
    <definedName name="IQ_BUS_SEG_INC_TAX">"c4077"</definedName>
    <definedName name="IQ_BUS_SEG_INC_TAX_ABS">"c4099"</definedName>
    <definedName name="IQ_BUS_SEG_INC_TAX_TOTAL">"c4114"</definedName>
    <definedName name="IQ_BUS_SEG_INTEREST_EXP">"c4076"</definedName>
    <definedName name="IQ_BUS_SEG_INTEREST_EXP_ABS">"c4098"</definedName>
    <definedName name="IQ_BUS_SEG_INTEREST_EXP_TOTAL">"c4113"</definedName>
    <definedName name="IQ_BUS_SEG_NAME">"c5482"</definedName>
    <definedName name="IQ_BUS_SEG_NAME_ABS">"c5483"</definedName>
    <definedName name="IQ_BUS_SEG_NI">"c4065"</definedName>
    <definedName name="IQ_BUS_SEG_NI_ABS">"c4087"</definedName>
    <definedName name="IQ_BUS_SEG_NI_TOTAL">"c4111"</definedName>
    <definedName name="IQ_BUS_SEG_OPER_INC">"c4062"</definedName>
    <definedName name="IQ_BUS_SEG_OPER_INC_ABS">"c4084"</definedName>
    <definedName name="IQ_BUS_SEG_OPER_INC_TOTAL">"c4107"</definedName>
    <definedName name="IQ_BUS_SEG_REV">"c4068"</definedName>
    <definedName name="IQ_BUS_SEG_REV_ABS">"c4090"</definedName>
    <definedName name="IQ_BUS_SEG_REV_TOTAL">"c4106"</definedName>
    <definedName name="IQ_BUSINESS_COMBINATIONS_FFIEC">"c12967"</definedName>
    <definedName name="IQ_BUSINESS_DESCRIPTION">"c322"</definedName>
    <definedName name="IQ_BV_ACT_OR_EST_CIQ">"c5068"</definedName>
    <definedName name="IQ_BV_EST">"c5624"</definedName>
    <definedName name="IQ_BV_EST_CIQ">"c4737"</definedName>
    <definedName name="IQ_BV_HIGH_EST">"c5626"</definedName>
    <definedName name="IQ_BV_HIGH_EST_CIQ">"c4739"</definedName>
    <definedName name="IQ_BV_LOW_EST">"c5627"</definedName>
    <definedName name="IQ_BV_LOW_EST_CIQ">"c4740"</definedName>
    <definedName name="IQ_BV_MEDIAN_EST">"c5625"</definedName>
    <definedName name="IQ_BV_MEDIAN_EST_CIQ">"c4738"</definedName>
    <definedName name="IQ_BV_NUM_EST">"c5628"</definedName>
    <definedName name="IQ_BV_NUM_EST_CIQ">"c4741"</definedName>
    <definedName name="IQ_BV_OVER_SHARES">"c1349"</definedName>
    <definedName name="IQ_BV_SHARE">"c100"</definedName>
    <definedName name="IQ_BV_SHARE_ACT_OR_EST">"c3587"</definedName>
    <definedName name="IQ_BV_SHARE_ACT_OR_EST_CIQ">"c5072"</definedName>
    <definedName name="IQ_BV_SHARE_DET_EST">"c12047"</definedName>
    <definedName name="IQ_BV_SHARE_DET_EST_CIQ">"c12107"</definedName>
    <definedName name="IQ_BV_SHARE_DET_EST_CURRENCY">"c12456"</definedName>
    <definedName name="IQ_BV_SHARE_DET_EST_CURRENCY_CIQ">"c12500"</definedName>
    <definedName name="IQ_BV_SHARE_DET_EST_DATE">"c12200"</definedName>
    <definedName name="IQ_BV_SHARE_DET_EST_DATE_CIQ">"c12253"</definedName>
    <definedName name="IQ_BV_SHARE_DET_EST_INCL">"c12339"</definedName>
    <definedName name="IQ_BV_SHARE_DET_EST_INCL_CIQ">"c12383"</definedName>
    <definedName name="IQ_BV_SHARE_DET_EST_ORIGIN">"c12573"</definedName>
    <definedName name="IQ_BV_SHARE_DET_EST_ORIGIN_CIQ">"c12622"</definedName>
    <definedName name="IQ_BV_SHARE_EST">"c3541"</definedName>
    <definedName name="IQ_BV_SHARE_EST_CIQ">"c3800"</definedName>
    <definedName name="IQ_BV_SHARE_HIGH_EST">"c3542"</definedName>
    <definedName name="IQ_BV_SHARE_HIGH_EST_CIQ">"c3802"</definedName>
    <definedName name="IQ_BV_SHARE_LOW_EST">"c3543"</definedName>
    <definedName name="IQ_BV_SHARE_LOW_EST_CIQ">"c3803"</definedName>
    <definedName name="IQ_BV_SHARE_MEDIAN_EST">"c3544"</definedName>
    <definedName name="IQ_BV_SHARE_MEDIAN_EST_CIQ">"c3801"</definedName>
    <definedName name="IQ_BV_SHARE_NUM_EST">"c3539"</definedName>
    <definedName name="IQ_BV_SHARE_NUM_EST_CIQ">"c3804"</definedName>
    <definedName name="IQ_BV_SHARE_STDDEV_EST">"c3540"</definedName>
    <definedName name="IQ_BV_SHARE_STDDEV_EST_CIQ">"c3805"</definedName>
    <definedName name="IQ_BV_STDDEV_EST">"c5629"</definedName>
    <definedName name="IQ_BV_STDDEV_EST_CIQ">"c4742"</definedName>
    <definedName name="IQ_CA_AP">"c8881"</definedName>
    <definedName name="IQ_CA_AP_ABS">"c8900"</definedName>
    <definedName name="IQ_CA_NAME_AP">"c8919"</definedName>
    <definedName name="IQ_CA_NAME_AP_ABS">"c8938"</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Q_EST">"c6796"</definedName>
    <definedName name="IQ_CAL_Q_EST_CIQ">"c6808"</definedName>
    <definedName name="IQ_CAL_Y">"c102"</definedName>
    <definedName name="IQ_CAL_Y_EST">"c6797"</definedName>
    <definedName name="IQ_CAL_Y_EST_CIQ">"c6809"</definedName>
    <definedName name="IQ_CALC_TYPE_BS">"c3086"</definedName>
    <definedName name="IQ_CALC_TYPE_CF">"c3085"</definedName>
    <definedName name="IQ_CALC_TYPE_IS">"c3084"</definedName>
    <definedName name="IQ_CALL_DATE_SCHEDULE">"c2481"</definedName>
    <definedName name="IQ_CALL_FEATURE">"c2197"</definedName>
    <definedName name="IQ_CALL_PRICE_SCHEDULE">"c2482"</definedName>
    <definedName name="IQ_CALLABLE">"c2196"</definedName>
    <definedName name="IQ_CAP_LOSS_CF_1YR">"c3474"</definedName>
    <definedName name="IQ_CAP_LOSS_CF_2YR">"c3475"</definedName>
    <definedName name="IQ_CAP_LOSS_CF_3YR">"c3476"</definedName>
    <definedName name="IQ_CAP_LOSS_CF_4YR">"c3477"</definedName>
    <definedName name="IQ_CAP_LOSS_CF_5YR">"c3478"</definedName>
    <definedName name="IQ_CAP_LOSS_CF_AFTER_FIVE">"c3479"</definedName>
    <definedName name="IQ_CAP_LOSS_CF_MAX_YEAR">"c3482"</definedName>
    <definedName name="IQ_CAP_LOSS_CF_NO_EXP">"c3480"</definedName>
    <definedName name="IQ_CAP_LOSS_CF_TOTAL">"c3481"</definedName>
    <definedName name="IQ_CAP_UTIL_RATE">"c6824"</definedName>
    <definedName name="IQ_CAP_UTIL_RATE_POP">"c7044"</definedName>
    <definedName name="IQ_CAP_UTIL_RATE_YOY">"c7264"</definedName>
    <definedName name="IQ_CAPEX">"c103"</definedName>
    <definedName name="IQ_CAPEX_10YR_ANN_CAGR">"c6050"</definedName>
    <definedName name="IQ_CAPEX_10YR_ANN_GROWTH">"c104"</definedName>
    <definedName name="IQ_CAPEX_1YR_ANN_GROWTH">"c105"</definedName>
    <definedName name="IQ_CAPEX_2YR_ANN_CAGR">"c6051"</definedName>
    <definedName name="IQ_CAPEX_2YR_ANN_GROWTH">"c106"</definedName>
    <definedName name="IQ_CAPEX_3YR_ANN_CAGR">"c6052"</definedName>
    <definedName name="IQ_CAPEX_3YR_ANN_GROWTH">"c107"</definedName>
    <definedName name="IQ_CAPEX_5YR_ANN_CAGR">"c6053"</definedName>
    <definedName name="IQ_CAPEX_5YR_ANN_GROWTH">"c108"</definedName>
    <definedName name="IQ_CAPEX_7YR_ANN_CAGR">"c6054"</definedName>
    <definedName name="IQ_CAPEX_7YR_ANN_GROWTH">"c109"</definedName>
    <definedName name="IQ_CAPEX_ACT_OR_EST">"c3584"</definedName>
    <definedName name="IQ_CAPEX_ACT_OR_EST_CIQ">"c5071"</definedName>
    <definedName name="IQ_CAPEX_BNK">"c110"</definedName>
    <definedName name="IQ_CAPEX_BR">"c111"</definedName>
    <definedName name="IQ_CAPEX_DET_EST">"c12048"</definedName>
    <definedName name="IQ_CAPEX_DET_EST_CIQ">"c12108"</definedName>
    <definedName name="IQ_CAPEX_DET_EST_CURRENCY">"c12457"</definedName>
    <definedName name="IQ_CAPEX_DET_EST_CURRENCY_CIQ">"c12501"</definedName>
    <definedName name="IQ_CAPEX_DET_EST_DATE">"c12201"</definedName>
    <definedName name="IQ_CAPEX_DET_EST_DATE_CIQ">"c12254"</definedName>
    <definedName name="IQ_CAPEX_DET_EST_INCL">"c12340"</definedName>
    <definedName name="IQ_CAPEX_DET_EST_INCL_CIQ">"c12384"</definedName>
    <definedName name="IQ_CAPEX_DET_EST_ORIGIN">"c12765"</definedName>
    <definedName name="IQ_CAPEX_DET_EST_ORIGIN_CIQ">"c12766"</definedName>
    <definedName name="IQ_CAPEX_EST">"c3523"</definedName>
    <definedName name="IQ_CAPEX_EST_CIQ">"c3807"</definedName>
    <definedName name="IQ_CAPEX_FIN">"c112"</definedName>
    <definedName name="IQ_CAPEX_GUIDANCE">"c4150"</definedName>
    <definedName name="IQ_CAPEX_HIGH_EST">"c3524"</definedName>
    <definedName name="IQ_CAPEX_HIGH_EST_CIQ">"c3809"</definedName>
    <definedName name="IQ_CAPEX_HIGH_GUIDANCE">"c4180"</definedName>
    <definedName name="IQ_CAPEX_INS">"c113"</definedName>
    <definedName name="IQ_CAPEX_LOW_EST">"c3525"</definedName>
    <definedName name="IQ_CAPEX_LOW_EST_CIQ">"c3810"</definedName>
    <definedName name="IQ_CAPEX_LOW_GUIDANCE">"c4220"</definedName>
    <definedName name="IQ_CAPEX_MEDIAN_EST">"c3526"</definedName>
    <definedName name="IQ_CAPEX_MEDIAN_EST_CIQ">"c3808"</definedName>
    <definedName name="IQ_CAPEX_NUM_EST">"c3521"</definedName>
    <definedName name="IQ_CAPEX_NUM_EST_CIQ">"c3811"</definedName>
    <definedName name="IQ_CAPEX_STDDEV_EST">"c3522"</definedName>
    <definedName name="IQ_CAPEX_STDDEV_EST_CIQ">"c3812"</definedName>
    <definedName name="IQ_CAPEX_UTI">"c114"</definedName>
    <definedName name="IQ_CAPITAL_ALLOCATION_ADJUSTMENT_FOREIGN_FFIEC">"c15389"</definedName>
    <definedName name="IQ_CAPITAL_LEASE">"c1350"</definedName>
    <definedName name="IQ_CAPITAL_LEASES">"c115"</definedName>
    <definedName name="IQ_CAPITAL_LEASES_TOTAL">"c3031"</definedName>
    <definedName name="IQ_CAPITAL_LEASES_TOTAL_PCT">"c2506"</definedName>
    <definedName name="IQ_CAPITAL_RAISED_PERIOD_COVERED">"c9959"</definedName>
    <definedName name="IQ_CAPITAL_RAISED_PERIOD_GROUP">"c9945"</definedName>
    <definedName name="IQ_CAPITALIZED_INTEREST">"c2076"</definedName>
    <definedName name="IQ_CAPITALIZED_INTEREST_BOP">"c3459"</definedName>
    <definedName name="IQ_CAPITALIZED_INTEREST_EOP">"c3464"</definedName>
    <definedName name="IQ_CAPITALIZED_INTEREST_EXP">"c3461"</definedName>
    <definedName name="IQ_CAPITALIZED_INTEREST_OTHER_ADJ">"c3463"</definedName>
    <definedName name="IQ_CAPITALIZED_INTEREST_WRITE_OFF">"c3462"</definedName>
    <definedName name="IQ_CASH">"c1458"</definedName>
    <definedName name="IQ_CASH_ACQUIRE_CF">"c116"</definedName>
    <definedName name="IQ_CASH_BALANCES_DUE_FFIEC">"c12773"</definedName>
    <definedName name="IQ_CASH_BANKS_FOREIGN_COUNTRIES_DOM_FFIEC">"c15289"</definedName>
    <definedName name="IQ_CASH_COLLECTION_UNPOSTED_DEBITS_CURRENCY_FFIEC">"c15279"</definedName>
    <definedName name="IQ_CASH_COLLECTION_UNPOSTED_DEBITS_DOM_FFIEC">"c15286"</definedName>
    <definedName name="IQ_CASH_CONVERSION">"c117"</definedName>
    <definedName name="IQ_CASH_COST_ALUM">"c9252"</definedName>
    <definedName name="IQ_CASH_COST_COAL">"c9825"</definedName>
    <definedName name="IQ_CASH_COST_COP">"c9199"</definedName>
    <definedName name="IQ_CASH_COST_DIAM">"c9676"</definedName>
    <definedName name="IQ_CASH_COST_GOLD">"c9037"</definedName>
    <definedName name="IQ_CASH_COST_IRON">"c9411"</definedName>
    <definedName name="IQ_CASH_COST_LEAD">"c9464"</definedName>
    <definedName name="IQ_CASH_COST_MANG">"c9517"</definedName>
    <definedName name="IQ_CASH_COST_MET_COAL">"c9762"</definedName>
    <definedName name="IQ_CASH_COST_MOLYB">"c9729"</definedName>
    <definedName name="IQ_CASH_COST_NICK">"c9305"</definedName>
    <definedName name="IQ_CASH_COST_PLAT">"c9143"</definedName>
    <definedName name="IQ_CASH_COST_SILVER">"c9090"</definedName>
    <definedName name="IQ_CASH_COST_STEAM">"c9792"</definedName>
    <definedName name="IQ_CASH_COST_TITAN">"c9570"</definedName>
    <definedName name="IQ_CASH_COST_URAN">"c9623"</definedName>
    <definedName name="IQ_CASH_COST_ZINC">"c9358"</definedName>
    <definedName name="IQ_CASH_DEPOSITORY_INSTIT_US_DOM_FFIEC">"c15288"</definedName>
    <definedName name="IQ_CASH_DIVIDENDS_NET_INCOME_FDIC">"c6738"</definedName>
    <definedName name="IQ_CASH_DUE_BANKS">"c1351"</definedName>
    <definedName name="IQ_CASH_DUE_OTHER_FED_RESERVE_BANKS_DOM_FFIEC">"c15290"</definedName>
    <definedName name="IQ_CASH_DUE_OTHER_FED_RESERVE_BANKS_FFIEC">"c15284"</definedName>
    <definedName name="IQ_CASH_DUE_US_BRANCH_FOREIGN_BANK_FFIEC">"c15280"</definedName>
    <definedName name="IQ_CASH_EPS_ACT_OR_EST">"c5638"</definedName>
    <definedName name="IQ_CASH_EPS_EST">"c5631"</definedName>
    <definedName name="IQ_CASH_EPS_HIGH_EST">"c5633"</definedName>
    <definedName name="IQ_CASH_EPS_LOW_EST">"c5634"</definedName>
    <definedName name="IQ_CASH_EPS_MEDIAN_EST">"c5632"</definedName>
    <definedName name="IQ_CASH_EPS_NUM_EST">"c5635"</definedName>
    <definedName name="IQ_CASH_EPS_STDDEV_EST">"c5636"</definedName>
    <definedName name="IQ_CASH_EQUIV">"c118"</definedName>
    <definedName name="IQ_CASH_FINAN">"c119"</definedName>
    <definedName name="IQ_CASH_FINAN_AP">"c8890"</definedName>
    <definedName name="IQ_CASH_FINAN_AP_ABS">"c8909"</definedName>
    <definedName name="IQ_CASH_FINAN_NAME_AP">"c8928"</definedName>
    <definedName name="IQ_CASH_FINAN_NAME_AP_ABS">"c8947"</definedName>
    <definedName name="IQ_CASH_FINAN_SUBTOTAL_AP">"c10111"</definedName>
    <definedName name="IQ_CASH_FLOW_ACT_OR_EST">"c4154"</definedName>
    <definedName name="IQ_CASH_FLOW_ACT_OR_EST_CIQ">"c4566"</definedName>
    <definedName name="IQ_CASH_FLOW_EST">"c4153"</definedName>
    <definedName name="IQ_CASH_FLOW_EST_CIQ">"c4565"</definedName>
    <definedName name="IQ_CASH_FLOW_HIGH_EST">"c4156"</definedName>
    <definedName name="IQ_CASH_FLOW_HIGH_EST_CIQ">"c4568"</definedName>
    <definedName name="IQ_CASH_FLOW_LOW_EST">"c4157"</definedName>
    <definedName name="IQ_CASH_FLOW_LOW_EST_CIQ">"c4569"</definedName>
    <definedName name="IQ_CASH_FLOW_MEDIAN_EST">"c4158"</definedName>
    <definedName name="IQ_CASH_FLOW_MEDIAN_EST_CIQ">"c4570"</definedName>
    <definedName name="IQ_CASH_FLOW_NUM_EST">"c4159"</definedName>
    <definedName name="IQ_CASH_FLOW_NUM_EST_CIQ">"c4571"</definedName>
    <definedName name="IQ_CASH_FLOW_STDDEV_EST">"c4160"</definedName>
    <definedName name="IQ_CASH_FLOW_STDDEV_EST_CIQ">"c4572"</definedName>
    <definedName name="IQ_CASH_FOREIGN_BRANCH_OTHER_US_BANKS_FFIEC">"c15282"</definedName>
    <definedName name="IQ_CASH_IN_PROCESS_FDIC">"c6386"</definedName>
    <definedName name="IQ_CASH_INTEREST">"c120"</definedName>
    <definedName name="IQ_CASH_INTEREST_FINAN">"c6295"</definedName>
    <definedName name="IQ_CASH_INTEREST_INVEST">"c6294"</definedName>
    <definedName name="IQ_CASH_INTEREST_NET">"c12753"</definedName>
    <definedName name="IQ_CASH_INTEREST_OPER">"c6293"</definedName>
    <definedName name="IQ_CASH_INTEREST_RECEIVED">"c12754"</definedName>
    <definedName name="IQ_CASH_INVEST">"c121"</definedName>
    <definedName name="IQ_CASH_INVEST_AP">"c8889"</definedName>
    <definedName name="IQ_CASH_INVEST_AP_ABS">"c8908"</definedName>
    <definedName name="IQ_CASH_INVEST_NAME_AP">"c8927"</definedName>
    <definedName name="IQ_CASH_INVEST_NAME_AP_ABS">"c8946"</definedName>
    <definedName name="IQ_CASH_INVEST_SUBTOTAL_AP">"c8991"</definedName>
    <definedName name="IQ_CASH_OPER">"c122"</definedName>
    <definedName name="IQ_CASH_OPER_ACT_OR_EST">"c4164"</definedName>
    <definedName name="IQ_CASH_OPER_ACT_OR_EST_CIQ">"c4576"</definedName>
    <definedName name="IQ_CASH_OPER_AP">"c8888"</definedName>
    <definedName name="IQ_CASH_OPER_AP_ABS">"c8907"</definedName>
    <definedName name="IQ_CASH_OPER_EST">"c4163"</definedName>
    <definedName name="IQ_CASH_OPER_EST_CIQ">"c4575"</definedName>
    <definedName name="IQ_CASH_OPER_GUIDANCE">"c4165"</definedName>
    <definedName name="IQ_CASH_OPER_HIGH_EST">"c4166"</definedName>
    <definedName name="IQ_CASH_OPER_HIGH_EST_CIQ">"c4578"</definedName>
    <definedName name="IQ_CASH_OPER_HIGH_GUIDANCE">"c4185"</definedName>
    <definedName name="IQ_CASH_OPER_LOW_EST">"c4244"</definedName>
    <definedName name="IQ_CASH_OPER_LOW_EST_CIQ">"c4768"</definedName>
    <definedName name="IQ_CASH_OPER_LOW_GUIDANCE">"c4225"</definedName>
    <definedName name="IQ_CASH_OPER_MEDIAN_EST">"c4245"</definedName>
    <definedName name="IQ_CASH_OPER_MEDIAN_EST_CIQ">"c4771"</definedName>
    <definedName name="IQ_CASH_OPER_NAME_AP">"c8926"</definedName>
    <definedName name="IQ_CASH_OPER_NAME_AP_ABS">"c8945"</definedName>
    <definedName name="IQ_CASH_OPER_NUM_EST">"c4246"</definedName>
    <definedName name="IQ_CASH_OPER_NUM_EST_CIQ">"c4772"</definedName>
    <definedName name="IQ_CASH_OPER_STDDEV_EST">"c4247"</definedName>
    <definedName name="IQ_CASH_OPER_STDDEV_EST_CIQ">"c4773"</definedName>
    <definedName name="IQ_CASH_OPER_SUBTOTAL_AP">"c8990"</definedName>
    <definedName name="IQ_CASH_OTHER_ADJ_AP">"c8891"</definedName>
    <definedName name="IQ_CASH_OTHER_ADJ_AP_ABS">"c8910"</definedName>
    <definedName name="IQ_CASH_OTHER_ADJ_NAME_AP">"c8929"</definedName>
    <definedName name="IQ_CASH_OTHER_ADJ_NAME_AP_ABS">"c8948"</definedName>
    <definedName name="IQ_CASH_OTHER_BANKS_FOREIGN_COUNTRIES_FFIEC">"c15283"</definedName>
    <definedName name="IQ_CASH_OTHER_US_COMM_BANK_DEP_INSTIT_FFIEC">"c15281"</definedName>
    <definedName name="IQ_CASH_SEGREG">"c123"</definedName>
    <definedName name="IQ_CASH_SHARE">"c1911"</definedName>
    <definedName name="IQ_CASH_ST">"c1355"</definedName>
    <definedName name="IQ_CASH_ST_INVEST">"c124"</definedName>
    <definedName name="IQ_CASH_ST_INVEST_EST">"c4249"</definedName>
    <definedName name="IQ_CASH_ST_INVEST_EST_CIQ">"c4775"</definedName>
    <definedName name="IQ_CASH_ST_INVEST_HIGH_EST">"c4251"</definedName>
    <definedName name="IQ_CASH_ST_INVEST_HIGH_EST_CIQ">"c4777"</definedName>
    <definedName name="IQ_CASH_ST_INVEST_LOW_EST">"c4252"</definedName>
    <definedName name="IQ_CASH_ST_INVEST_LOW_EST_CIQ">"c4778"</definedName>
    <definedName name="IQ_CASH_ST_INVEST_MEDIAN_EST">"c4253"</definedName>
    <definedName name="IQ_CASH_ST_INVEST_MEDIAN_EST_CIQ">"c4779"</definedName>
    <definedName name="IQ_CASH_ST_INVEST_NUM_EST">"c4254"</definedName>
    <definedName name="IQ_CASH_ST_INVEST_NUM_EST_CIQ">"c4780"</definedName>
    <definedName name="IQ_CASH_ST_INVEST_STDDEV_EST">"c4255"</definedName>
    <definedName name="IQ_CASH_ST_INVEST_STDDEV_EST_CIQ">"c4781"</definedName>
    <definedName name="IQ_CASH_STRUCTURED_PRODUCTS_AVAIL_SALE_FFIEC">"c15263"</definedName>
    <definedName name="IQ_CASH_STRUCTURED_PRODUCTS_FFIEC">"c15260"</definedName>
    <definedName name="IQ_CASH_TAXES">"c125"</definedName>
    <definedName name="IQ_CASH_TAXES_FINAN">"c6292"</definedName>
    <definedName name="IQ_CASH_TAXES_INVEST">"c6291"</definedName>
    <definedName name="IQ_CASH_TAXES_OPER">"c6290"</definedName>
    <definedName name="IQ_CCE_FDIC">"c6296"</definedName>
    <definedName name="IQ_CDS_5YR_CIQID">"c11751"</definedName>
    <definedName name="IQ_CDS_ASK">"c6027"</definedName>
    <definedName name="IQ_CDS_BID">"c6026"</definedName>
    <definedName name="IQ_CDS_COUPON">"c15234"</definedName>
    <definedName name="IQ_CDS_CURRENCY">"c6031"</definedName>
    <definedName name="IQ_CDS_DERIVATIVES_BENEFICIARY_FFIEC">"c13119"</definedName>
    <definedName name="IQ_CDS_DERIVATIVES_GUARANTOR_FFIEC">"c13112"</definedName>
    <definedName name="IQ_CDS_EVAL_DATE">"c6029"</definedName>
    <definedName name="IQ_CDS_LIST">"c13510"</definedName>
    <definedName name="IQ_CDS_LOAN_LIST">"c13518"</definedName>
    <definedName name="IQ_CDS_MID">"c6028"</definedName>
    <definedName name="IQ_CDS_NAME">"c6034"</definedName>
    <definedName name="IQ_CDS_NEXT_SERIES_ID">"c15231"</definedName>
    <definedName name="IQ_CDS_PREV_SERIES_ID">"c15232"</definedName>
    <definedName name="IQ_CDS_PRICE_TYPE">"c15233"</definedName>
    <definedName name="IQ_CDS_SENIOR_LIST">"c13508"</definedName>
    <definedName name="IQ_CDS_SUB_LIST">"c13509"</definedName>
    <definedName name="IQ_CDS_TERM">"c6030"</definedName>
    <definedName name="IQ_CDS_TYPE">"c6025"</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EO_ID">"c15210"</definedName>
    <definedName name="IQ_CEO_NAME">"c15209"</definedName>
    <definedName name="IQ_CERTIFIED_OFFICIAL_CHECKS_TRANS_ACCTS_FFIEC">"c15320"</definedName>
    <definedName name="IQ_CFO_10YR_ANN_CAGR">"c6055"</definedName>
    <definedName name="IQ_CFO_10YR_ANN_GROWTH">"c126"</definedName>
    <definedName name="IQ_CFO_1YR_ANN_GROWTH">"c127"</definedName>
    <definedName name="IQ_CFO_2YR_ANN_CAGR">"c6056"</definedName>
    <definedName name="IQ_CFO_2YR_ANN_GROWTH">"c128"</definedName>
    <definedName name="IQ_CFO_3YR_ANN_CAGR">"c6057"</definedName>
    <definedName name="IQ_CFO_3YR_ANN_GROWTH">"c129"</definedName>
    <definedName name="IQ_CFO_5YR_ANN_CAGR">"c6058"</definedName>
    <definedName name="IQ_CFO_5YR_ANN_GROWTH">"c130"</definedName>
    <definedName name="IQ_CFO_7YR_ANN_CAGR">"c6059"</definedName>
    <definedName name="IQ_CFO_7YR_ANN_GROWTH">"c131"</definedName>
    <definedName name="IQ_CFO_CURRENT_LIAB">"c132"</definedName>
    <definedName name="IQ_CFO_ID">"c15212"</definedName>
    <definedName name="IQ_CFO_NAME">"c15211"</definedName>
    <definedName name="IQ_CFPS_ACT_OR_EST">"c2217"</definedName>
    <definedName name="IQ_CFPS_ACT_OR_EST_CIQ">"c5061"</definedName>
    <definedName name="IQ_CFPS_DET_EST">"c12049"</definedName>
    <definedName name="IQ_CFPS_DET_EST_CIQ">"c12109"</definedName>
    <definedName name="IQ_CFPS_DET_EST_CURRENCY">"c12458"</definedName>
    <definedName name="IQ_CFPS_DET_EST_CURRENCY_CIQ">"c12502"</definedName>
    <definedName name="IQ_CFPS_DET_EST_DATE">"c12202"</definedName>
    <definedName name="IQ_CFPS_DET_EST_DATE_CIQ">"c12255"</definedName>
    <definedName name="IQ_CFPS_DET_EST_INCL">"c12341"</definedName>
    <definedName name="IQ_CFPS_DET_EST_INCL_CIQ">"c12385"</definedName>
    <definedName name="IQ_CFPS_DET_EST_ORIGIN">"c12575"</definedName>
    <definedName name="IQ_CFPS_DET_EST_ORIGIN_CIQ">"c12624"</definedName>
    <definedName name="IQ_CFPS_EST">"c1667"</definedName>
    <definedName name="IQ_CFPS_EST_CIQ">"c3675"</definedName>
    <definedName name="IQ_CFPS_GUIDANCE">"c4256"</definedName>
    <definedName name="IQ_CFPS_HIGH_EST">"c1669"</definedName>
    <definedName name="IQ_CFPS_HIGH_EST_CIQ">"c3677"</definedName>
    <definedName name="IQ_CFPS_HIGH_GUIDANCE">"c4167"</definedName>
    <definedName name="IQ_CFPS_LOW_EST">"c1670"</definedName>
    <definedName name="IQ_CFPS_LOW_EST_CIQ">"c3678"</definedName>
    <definedName name="IQ_CFPS_LOW_GUIDANCE">"c4207"</definedName>
    <definedName name="IQ_CFPS_MEDIAN_EST">"c1668"</definedName>
    <definedName name="IQ_CFPS_MEDIAN_EST_CIQ">"c3676"</definedName>
    <definedName name="IQ_CFPS_NUM_EST">"c1671"</definedName>
    <definedName name="IQ_CFPS_NUM_EST_CIQ">"c3679"</definedName>
    <definedName name="IQ_CFPS_STDDEV_EST">"c1672"</definedName>
    <definedName name="IQ_CFPS_STDDEV_EST_CIQ">"c3680"</definedName>
    <definedName name="IQ_CH">110000</definedName>
    <definedName name="IQ_CHAIRMAN_ID">"c15218"</definedName>
    <definedName name="IQ_CHAIRMAN_NAME">"c15217"</definedName>
    <definedName name="IQ_CHANGE_AP">"c133"</definedName>
    <definedName name="IQ_CHANGE_AP_BNK">"c134"</definedName>
    <definedName name="IQ_CHANGE_AP_BR">"c135"</definedName>
    <definedName name="IQ_CHANGE_AP_FIN">"c136"</definedName>
    <definedName name="IQ_CHANGE_AP_INS">"c137"</definedName>
    <definedName name="IQ_CHANGE_AP_RE">"c6200"</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"c6201"</definedName>
    <definedName name="IQ_CHANGE_AR_REIT">"c145"</definedName>
    <definedName name="IQ_CHANGE_AR_UTI">"c146"</definedName>
    <definedName name="IQ_CHANGE_DEF_TAX">"c147"</definedName>
    <definedName name="IQ_CHANGE_DEF_TAX_TOTAL">"c15557"</definedName>
    <definedName name="IQ_CHANGE_DEPOSIT_ACCT">"c148"</definedName>
    <definedName name="IQ_CHANGE_FAIR_VALUE_FINANCIAL_LIAB_T1_FFIEC">"c13138"</definedName>
    <definedName name="IQ_CHANGE_FAIR_VALUE_OPTIONS_FFIEC">"c13045"</definedName>
    <definedName name="IQ_CHANGE_INC_TAX">"c149"</definedName>
    <definedName name="IQ_CHANGE_INS_RES_LIAB">"c150"</definedName>
    <definedName name="IQ_CHANGE_INVENT">"c6826"</definedName>
    <definedName name="IQ_CHANGE_INVENT_APR">"c7486"</definedName>
    <definedName name="IQ_CHANGE_INVENT_POP">"c7046"</definedName>
    <definedName name="IQ_CHANGE_INVENT_REAL_APR_FC_UNUSED">"c8500"</definedName>
    <definedName name="IQ_CHANGE_INVENT_REAL_APR_FC_UNUSED_UNUSED_UNUSED">"c8500"</definedName>
    <definedName name="IQ_CHANGE_INVENT_REAL_APR_UNUSED">"c7620"</definedName>
    <definedName name="IQ_CHANGE_INVENT_REAL_APR_UNUSED_UNUSED_UNUSED">"c7620"</definedName>
    <definedName name="IQ_CHANGE_INVENT_REAL_FC_UNUSED">"c7840"</definedName>
    <definedName name="IQ_CHANGE_INVENT_REAL_FC_UNUSED_UNUSED_UNUSED">"c7840"</definedName>
    <definedName name="IQ_CHANGE_INVENT_REAL_POP_FC_UNUSED">"c8060"</definedName>
    <definedName name="IQ_CHANGE_INVENT_REAL_POP_FC_UNUSED_UNUSED_UNUSED">"c8060"</definedName>
    <definedName name="IQ_CHANGE_INVENT_REAL_POP_UNUSED">"c7180"</definedName>
    <definedName name="IQ_CHANGE_INVENT_REAL_POP_UNUSED_UNUSED_UNUSED">"c7180"</definedName>
    <definedName name="IQ_CHANGE_INVENT_REAL_SAAR">"c6962"</definedName>
    <definedName name="IQ_CHANGE_INVENT_REAL_SAAR_APR">"c7622"</definedName>
    <definedName name="IQ_CHANGE_INVENT_REAL_SAAR_APR_FC">"c8502"</definedName>
    <definedName name="IQ_CHANGE_INVENT_REAL_SAAR_FC">"c7842"</definedName>
    <definedName name="IQ_CHANGE_INVENT_REAL_SAAR_POP">"c7182"</definedName>
    <definedName name="IQ_CHANGE_INVENT_REAL_SAAR_POP_FC">"c8062"</definedName>
    <definedName name="IQ_CHANGE_INVENT_REAL_SAAR_USD_APR_FC">"c11917"</definedName>
    <definedName name="IQ_CHANGE_INVENT_REAL_SAAR_USD_FC">"c11914"</definedName>
    <definedName name="IQ_CHANGE_INVENT_REAL_SAAR_USD_POP_FC">"c11915"</definedName>
    <definedName name="IQ_CHANGE_INVENT_REAL_SAAR_USD_YOY_FC">"c11916"</definedName>
    <definedName name="IQ_CHANGE_INVENT_REAL_SAAR_YOY">"c7402"</definedName>
    <definedName name="IQ_CHANGE_INVENT_REAL_SAAR_YOY_FC">"c8282"</definedName>
    <definedName name="IQ_CHANGE_INVENT_REAL_UNUSED">"c6960"</definedName>
    <definedName name="IQ_CHANGE_INVENT_REAL_UNUSED_UNUSED_UNUSED">"c6960"</definedName>
    <definedName name="IQ_CHANGE_INVENT_REAL_USD_APR_FC">"c11913"</definedName>
    <definedName name="IQ_CHANGE_INVENT_REAL_USD_FC">"c11910"</definedName>
    <definedName name="IQ_CHANGE_INVENT_REAL_USD_POP_FC">"c11911"</definedName>
    <definedName name="IQ_CHANGE_INVENT_REAL_USD_YOY_FC">"c11912"</definedName>
    <definedName name="IQ_CHANGE_INVENT_REAL_YOY_FC_UNUSED">"c8280"</definedName>
    <definedName name="IQ_CHANGE_INVENT_REAL_YOY_FC_UNUSED_UNUSED_UNUSED">"c8280"</definedName>
    <definedName name="IQ_CHANGE_INVENT_REAL_YOY_UNUSED">"c7400"</definedName>
    <definedName name="IQ_CHANGE_INVENT_REAL_YOY_UNUSED_UNUSED_UNUSED">"c7400"</definedName>
    <definedName name="IQ_CHANGE_INVENT_SAAR">"c6827"</definedName>
    <definedName name="IQ_CHANGE_INVENT_SAAR_APR">"c7487"</definedName>
    <definedName name="IQ_CHANGE_INVENT_SAAR_APR_FC">"c8367"</definedName>
    <definedName name="IQ_CHANGE_INVENT_SAAR_FC">"c7707"</definedName>
    <definedName name="IQ_CHANGE_INVENT_SAAR_POP">"c7047"</definedName>
    <definedName name="IQ_CHANGE_INVENT_SAAR_POP_FC">"c7927"</definedName>
    <definedName name="IQ_CHANGE_INVENT_SAAR_YOY">"c7267"</definedName>
    <definedName name="IQ_CHANGE_INVENT_SAAR_YOY_FC">"c8147"</definedName>
    <definedName name="IQ_CHANGE_INVENT_YOY">"c7266"</definedName>
    <definedName name="IQ_CHANGE_INVENTORY">"c151"</definedName>
    <definedName name="IQ_CHANGE_NET_OPER_ASSETS">"c3592"</definedName>
    <definedName name="IQ_CHANGE_NET_WORKING_CAPITAL">"c1909"</definedName>
    <definedName name="IQ_CHANGE_OTHER_NET_OPER_ASSETS">"c3593"</definedName>
    <definedName name="IQ_CHANGE_OTHER_NET_OPER_ASSETS_BNK">"c3594"</definedName>
    <definedName name="IQ_CHANGE_OTHER_NET_OPER_ASSETS_BR">"c3595"</definedName>
    <definedName name="IQ_CHANGE_OTHER_NET_OPER_ASSETS_FIN">"c3596"</definedName>
    <definedName name="IQ_CHANGE_OTHER_NET_OPER_ASSETS_INS">"c3597"</definedName>
    <definedName name="IQ_CHANGE_OTHER_NET_OPER_ASSETS_RE">"c6285"</definedName>
    <definedName name="IQ_CHANGE_OTHER_NET_OPER_ASSETS_REIT">"c3598"</definedName>
    <definedName name="IQ_CHANGE_OTHER_NET_OPER_ASSETS_UTI">"c3599"</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PRIVATE_INVENT">"c6828"</definedName>
    <definedName name="IQ_CHANGE_PRIVATE_INVENT_APR">"c7488"</definedName>
    <definedName name="IQ_CHANGE_PRIVATE_INVENT_APR_FC">"c8368"</definedName>
    <definedName name="IQ_CHANGE_PRIVATE_INVENT_FC">"c7708"</definedName>
    <definedName name="IQ_CHANGE_PRIVATE_INVENT_POP">"c7048"</definedName>
    <definedName name="IQ_CHANGE_PRIVATE_INVENT_POP_FC">"c7928"</definedName>
    <definedName name="IQ_CHANGE_PRIVATE_INVENT_YOY">"c7268"</definedName>
    <definedName name="IQ_CHANGE_PRIVATE_INVENT_YOY_FC">"c8148"</definedName>
    <definedName name="IQ_CHANGE_TRADING_ASSETS">"c159"</definedName>
    <definedName name="IQ_CHANGE_UNEARN_REV">"c160"</definedName>
    <definedName name="IQ_CHANGE_WORK_CAP">"c161"</definedName>
    <definedName name="IQ_CHANGES_WORK_CAP">"c1357"</definedName>
    <definedName name="IQ_CHARGE_OFFS_1_4_FAMILY_FDIC">"c6756"</definedName>
    <definedName name="IQ_CHARGE_OFFS_1_4_FAMILY_LOANS_FDIC">"c6714"</definedName>
    <definedName name="IQ_CHARGE_OFFS_AUTO_LOANS_FDIC">"c6708"</definedName>
    <definedName name="IQ_CHARGE_OFFS_CL_LOANS_FDIC">"c6709"</definedName>
    <definedName name="IQ_CHARGE_OFFS_COMMERCIAL_INDUSTRIAL_FDIC">"c6759"</definedName>
    <definedName name="IQ_CHARGE_OFFS_COMMERCIAL_RE_FDIC">"c6754"</definedName>
    <definedName name="IQ_CHARGE_OFFS_COMMERCIAL_RE_NOT_SECURED_FDIC">"c6764"</definedName>
    <definedName name="IQ_CHARGE_OFFS_CONSTRUCTION_DEVELOPMENT_FDIC">"c6753"</definedName>
    <definedName name="IQ_CHARGE_OFFS_CREDIT_CARDS_FDIC">"c6761"</definedName>
    <definedName name="IQ_CHARGE_OFFS_CREDIT_CARDS_RECEIVABLES_FDIC">"c6711"</definedName>
    <definedName name="IQ_CHARGE_OFFS_GROSS">"c162"</definedName>
    <definedName name="IQ_CHARGE_OFFS_HOME_EQUITY_FDIC">"c6757"</definedName>
    <definedName name="IQ_CHARGE_OFFS_HOME_EQUITY_LINES_FDIC">"c6712"</definedName>
    <definedName name="IQ_CHARGE_OFFS_INDIVIDUALS_FDIC">"c6760"</definedName>
    <definedName name="IQ_CHARGE_OFFS_MULTI_FAMILY_FDIC">"c6755"</definedName>
    <definedName name="IQ_CHARGE_OFFS_NET">"c163"</definedName>
    <definedName name="IQ_CHARGE_OFFS_OTHER_1_4_FAMILY_FDIC">"c6758"</definedName>
    <definedName name="IQ_CHARGE_OFFS_OTHER_CONSUMER_LOANS_FDIC">"c6710"</definedName>
    <definedName name="IQ_CHARGE_OFFS_OTHER_INDIVIDUAL_FDIC">"c6762"</definedName>
    <definedName name="IQ_CHARGE_OFFS_OTHER_LOANS_FDIC">"c6763"</definedName>
    <definedName name="IQ_CHARGE_OFFS_OTHER_LOANS_OTHER_FDIC">"c6713"</definedName>
    <definedName name="IQ_CHARGE_OFFS_RE_LOANS_FDIC">"c6752"</definedName>
    <definedName name="IQ_CHARGE_OFFS_RECOVERED">"c164"</definedName>
    <definedName name="IQ_CHARGE_OFFS_TOTAL_AVG_LOANS">"c165"</definedName>
    <definedName name="IQ_CHICAGO_PMI">"c6829"</definedName>
    <definedName name="IQ_CHICAGO_PMI_APR">"c7489"</definedName>
    <definedName name="IQ_CHICAGO_PMI_APR_FC">"c8369"</definedName>
    <definedName name="IQ_CHICAGO_PMI_FC">"c7709"</definedName>
    <definedName name="IQ_CHICAGO_PMI_POP">"c7049"</definedName>
    <definedName name="IQ_CHICAGO_PMI_POP_FC">"c7929"</definedName>
    <definedName name="IQ_CHICAGO_PMI_YOY">"c7269"</definedName>
    <definedName name="IQ_CHICAGO_PMI_YOY_FC">"c8149"</definedName>
    <definedName name="IQ_CITY">"c166"</definedName>
    <definedName name="IQ_CL_AP">"c8884"</definedName>
    <definedName name="IQ_CL_AP_ABS">"c8903"</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NAME_AP">"c8922"</definedName>
    <definedName name="IQ_CL_NAME_AP_ABS">"c8941"</definedName>
    <definedName name="IQ_CL_OBLIGATION_IMMEDIATE">"c2253"</definedName>
    <definedName name="IQ_CLAIMS_ADJUSTMENT_EXP_PC_FFIEC">"c13100"</definedName>
    <definedName name="IQ_CLASS_MARKETCAP">"c13512"</definedName>
    <definedName name="IQ_CLASS_SHARESOUTSTANDING">"c13513"</definedName>
    <definedName name="IQ_CLASSA_OPTIONS_BEG_OS">"c2679"</definedName>
    <definedName name="IQ_CLASSA_OPTIONS_CANCELLED">"c2682"</definedName>
    <definedName name="IQ_CLASSA_OPTIONS_END_OS">"c2683"</definedName>
    <definedName name="IQ_CLASSA_OPTIONS_EXERCISABLE_END_OS">"c5809"</definedName>
    <definedName name="IQ_CLASSA_OPTIONS_EXERCISED">"c2681"</definedName>
    <definedName name="IQ_CLASSA_OPTIONS_GRANTED">"c2680"</definedName>
    <definedName name="IQ_CLASSA_OPTIONS_STRIKE_PRICE_BEG_OS">"c5810"</definedName>
    <definedName name="IQ_CLASSA_OPTIONS_STRIKE_PRICE_CANCELLED">"c5812"</definedName>
    <definedName name="IQ_CLASSA_OPTIONS_STRIKE_PRICE_EXERCISABLE">"c5813"</definedName>
    <definedName name="IQ_CLASSA_OPTIONS_STRIKE_PRICE_EXERCISED">"c5811"</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OSED_END_1_4_FAM_LOANS_TOT_LOANS_FFIEC">"c13866"</definedName>
    <definedName name="IQ_CLOSED_END_1_4_FIRST_LIENS_TRADING_DOM_FFIEC">"c12928"</definedName>
    <definedName name="IQ_CLOSED_END_1_4_JR_LIENS_LL_REC_DOM_FFIEC">"c12904"</definedName>
    <definedName name="IQ_CLOSED_END_1_4_JUNIOR_LIENS_TRADING_DOM_FFIEC">"c12929"</definedName>
    <definedName name="IQ_CLOSED_END_SEC_1_4_1ST_LIENS_CHARGE_OFFS_FFIEC">"c13169"</definedName>
    <definedName name="IQ_CLOSED_END_SEC_1_4_1ST_LIENS_DUE_30_89_FFIEC">"c13261"</definedName>
    <definedName name="IQ_CLOSED_END_SEC_1_4_1ST_LIENS_DUE_90_FFIEC">"c13289"</definedName>
    <definedName name="IQ_CLOSED_END_SEC_1_4_1ST_LIENS_NON_ACCRUAL_FFIEC">"c13315"</definedName>
    <definedName name="IQ_CLOSED_END_SEC_1_4_1ST_LIENS_RECOV_FFIEC">"c13191"</definedName>
    <definedName name="IQ_CLOSED_END_SEC_1_4_JR_LIENS_CHARGE_OFFS_FFIEC">"c13170"</definedName>
    <definedName name="IQ_CLOSED_END_SEC_1_4_JR_LIENS_DUE_30_89_FFIEC">"c13262"</definedName>
    <definedName name="IQ_CLOSED_END_SEC_1_4_JR_LIENS_DUE_90_FFIEC">"c13290"</definedName>
    <definedName name="IQ_CLOSED_END_SEC_1_4_JR_LIENS_NON_ACCRUAL_FFIEC">"c13316"</definedName>
    <definedName name="IQ_CLOSED_END_SEC_1_4_JR_LIENS_RECOV_FFIEC">"c13192"</definedName>
    <definedName name="IQ_CLOSED_END_SEC_1_4_RESIDENT_CHARGE_OFFS_FFIEC">"c15397"</definedName>
    <definedName name="IQ_CLOSED_END_SEC_1_4_RESIDENT_DUE_30_89_FFIEC">"c15413"</definedName>
    <definedName name="IQ_CLOSED_END_SEC_1_4_RESIDENT_DUE_90_FFIEC">"c15417"</definedName>
    <definedName name="IQ_CLOSED_END_SEC_1_4_RESIDENT_NON_ACCRUAL_FFIEC">"c15460"</definedName>
    <definedName name="IQ_CLOSED_END_SEC_1_4_RESIDENT_RECOV_FFIEC">"c15398"</definedName>
    <definedName name="IQ_CLOSED_END_SECURED_1_4_FIRST_LIENS_LL_REC_DOM_FFIEC">"c12903"</definedName>
    <definedName name="IQ_CLOSED_LOANS_GROSS_LOANS_FFIEC">"c13399"</definedName>
    <definedName name="IQ_CLOSED_LOANS_RISK_BASED_FFIEC">"c13420"</definedName>
    <definedName name="IQ_CLOSEPRICE">"c174"</definedName>
    <definedName name="IQ_CLOSEPRICE_ADJ">"c2115"</definedName>
    <definedName name="IQ_CMBS_ISSUED_AVAIL_SALE_FFIEC">"c12800"</definedName>
    <definedName name="IQ_CMBS_ISSUED_FFIEC">"c12786"</definedName>
    <definedName name="IQ_CMO_FDIC">"c6406"</definedName>
    <definedName name="IQ_COGS">"c175"</definedName>
    <definedName name="IQ_COLLATERAL_TYPE">"c8954"</definedName>
    <definedName name="IQ_COLLECTION_DOMESTIC_FDIC">"c6387"</definedName>
    <definedName name="IQ_COM_TARGET_PRICE">"c13606"</definedName>
    <definedName name="IQ_COM_TARGET_PRICE_CIQ">"c13599"</definedName>
    <definedName name="IQ_COM_TARGET_PRICE_DET_EST">"c13610"</definedName>
    <definedName name="IQ_COM_TARGET_PRICE_DET_EST_CIQ">"c13603"</definedName>
    <definedName name="IQ_COM_TARGET_PRICE_HIGH">"c13607"</definedName>
    <definedName name="IQ_COM_TARGET_PRICE_HIGH_CIQ">"c13600"</definedName>
    <definedName name="IQ_COM_TARGET_PRICE_LOW">"c13608"</definedName>
    <definedName name="IQ_COM_TARGET_PRICE_LOW_CIQ">"c13601"</definedName>
    <definedName name="IQ_COM_TARGET_PRICE_MEDIAN">"c13609"</definedName>
    <definedName name="IQ_COM_TARGET_PRICE_MEDIAN_CIQ">"c13602"</definedName>
    <definedName name="IQ_COM_TARGET_PRICE_NUM">"c13604"</definedName>
    <definedName name="IQ_COM_TARGET_PRICE_NUM_CIQ">"c13597"</definedName>
    <definedName name="IQ_COM_TARGET_PRICE_STDDEV">"c13605"</definedName>
    <definedName name="IQ_COM_TARGET_PRICE_STDDEV_CIQ">"c13598"</definedName>
    <definedName name="IQ_COMBINED_RATIO">"c176"</definedName>
    <definedName name="IQ_COMM_BANKS_OTHER_DEP_INST_US_TRANS_ACCTS_FFIEC">"c15317"</definedName>
    <definedName name="IQ_COMM_BANKS_OTHER_INST_US_NON_TRANS_ACCTS_FFIEC">"c15325"</definedName>
    <definedName name="IQ_COMM_IND_LOANS_TOT_LOANS_FFIEC">"c13874"</definedName>
    <definedName name="IQ_COMM_INDUSTRIAL_LOANS_FFIEC">"c12821"</definedName>
    <definedName name="IQ_COMM_INDUSTRIAL_NON_US_LL_REC_FFIEC">"c12888"</definedName>
    <definedName name="IQ_COMM_INDUSTRIAL_US_LL_REC_FFIEC">"c12887"</definedName>
    <definedName name="IQ_COMM_RE_FARM_LOANS_TOT_LOANS_FFIEC">"c13872"</definedName>
    <definedName name="IQ_COMM_RE_NONFARM_NONRES_TOT_LOANS_FFIEC">"c13871"</definedName>
    <definedName name="IQ_COMMERCIAL_BANKS_DEPOSITS_FOREIGN_FDIC">"c6480"</definedName>
    <definedName name="IQ_COMMERCIAL_BANKS_LOANS_FDIC">"c6434"</definedName>
    <definedName name="IQ_COMMERCIAL_BANKS_NONTRANSACTION_ACCOUNTS_FDIC">"c6548"</definedName>
    <definedName name="IQ_COMMERCIAL_BANKS_TOTAL_DEPOSITS_FDIC">"c6474"</definedName>
    <definedName name="IQ_COMMERCIAL_BANKS_TOTAL_LOANS_FOREIGN_FDIC">"c6444"</definedName>
    <definedName name="IQ_COMMERCIAL_BANKS_TRANSACTION_ACCOUNTS_FDIC">"c6540"</definedName>
    <definedName name="IQ_COMMERCIAL_DOM">"c177"</definedName>
    <definedName name="IQ_COMMERCIAL_FIRE_WRITTEN">"c178"</definedName>
    <definedName name="IQ_COMMERCIAL_INDUSTRIAL_CHARGE_OFFS_FDIC">"c6598"</definedName>
    <definedName name="IQ_COMMERCIAL_INDUSTRIAL_DOM_QUARTERLY_AVG_FFIEC">"c15478"</definedName>
    <definedName name="IQ_COMMERCIAL_INDUSTRIAL_GROSS_LOANS_FFIEC">"c13410"</definedName>
    <definedName name="IQ_COMMERCIAL_INDUSTRIAL_LOANS_DUE_30_89_FFIEC">"c13271"</definedName>
    <definedName name="IQ_COMMERCIAL_INDUSTRIAL_LOANS_DUE_90_FFIEC">"c13297"</definedName>
    <definedName name="IQ_COMMERCIAL_INDUSTRIAL_LOANS_LL_REC_DOM_FFIEC">"c12910"</definedName>
    <definedName name="IQ_COMMERCIAL_INDUSTRIAL_LOANS_NET_FDIC">"c6317"</definedName>
    <definedName name="IQ_COMMERCIAL_INDUSTRIAL_LOANS_NON_ACCRUAL_FFIEC">"c13323"</definedName>
    <definedName name="IQ_COMMERCIAL_INDUSTRIAL_NET_CHARGE_OFFS_FDIC">"c6636"</definedName>
    <definedName name="IQ_COMMERCIAL_INDUSTRIAL_NON_US_CHARGE_OFFS_FFIEC">"c13179"</definedName>
    <definedName name="IQ_COMMERCIAL_INDUSTRIAL_NON_US_DUE_30_89_FFIEC">"c15415"</definedName>
    <definedName name="IQ_COMMERCIAL_INDUSTRIAL_NON_US_DUE_90_FFIEC">"c15419"</definedName>
    <definedName name="IQ_COMMERCIAL_INDUSTRIAL_NON_US_NON_ACCRUAL_FFIEC">"c15464"</definedName>
    <definedName name="IQ_COMMERCIAL_INDUSTRIAL_NON_US_RECOV_FFIEC">"c13201"</definedName>
    <definedName name="IQ_COMMERCIAL_INDUSTRIAL_RECOVERIES_FDIC">"c6617"</definedName>
    <definedName name="IQ_COMMERCIAL_INDUSTRIAL_RISK_BASED_FFIEC">"c13431"</definedName>
    <definedName name="IQ_COMMERCIAL_INDUSTRIAL_TOTAL_LOANS_FOREIGN_FDIC">"c6451"</definedName>
    <definedName name="IQ_COMMERCIAL_INDUSTRIAL_TRADING_DOM_FFIEC">"c12932"</definedName>
    <definedName name="IQ_COMMERCIAL_INDUSTRIAL_US_CHARGE_OFFS_FFIEC">"c13178"</definedName>
    <definedName name="IQ_COMMERCIAL_INDUSTRIAL_US_DUE_30_89_FFIEC">"c15414"</definedName>
    <definedName name="IQ_COMMERCIAL_INDUSTRIAL_US_DUE_90_FFIEC">"c15418"</definedName>
    <definedName name="IQ_COMMERCIAL_INDUSTRIAL_US_NON_ACCRUAL_FFIEC">"c15463"</definedName>
    <definedName name="IQ_COMMERCIAL_INDUSTRIAL_US_RECOV_FFIEC">"c13200"</definedName>
    <definedName name="IQ_COMMERCIAL_MORT">"c179"</definedName>
    <definedName name="IQ_COMMERCIAL_OTHER_LOC_FFIEC">"c13253"</definedName>
    <definedName name="IQ_COMMERCIAL_PAPER_ASSETS_TOT_FFIEC">"c13449"</definedName>
    <definedName name="IQ_COMMERCIAL_PAPER_FFIEC">"c12863"</definedName>
    <definedName name="IQ_COMMERCIAL_RE_CONSTRUCTION_LAND_DEV_FDIC">"c6526"</definedName>
    <definedName name="IQ_COMMERCIAL_RE_GROSS_LOANS_FFIEC">"c13400"</definedName>
    <definedName name="IQ_COMMERCIAL_RE_LOANS_FDIC">"c6312"</definedName>
    <definedName name="IQ_COMMERCIAL_RE_RISK_BASED_FFIEC">"c13421"</definedName>
    <definedName name="IQ_COMMISS_FEES">"c180"</definedName>
    <definedName name="IQ_COMMISSION_DEF">"c181"</definedName>
    <definedName name="IQ_COMMITMENTS_BUY_SEC_OTHER_OFF_BS_FFIEC">"c13128"</definedName>
    <definedName name="IQ_COMMITMENTS_COMMERCIAL_RE_UNUSED_FFIEC">"c13243"</definedName>
    <definedName name="IQ_COMMITMENTS_MATURITY_EXCEEDING_1YR_FDIC">"c6531"</definedName>
    <definedName name="IQ_COMMITMENTS_NOT_SECURED_RE_FDIC">"c6528"</definedName>
    <definedName name="IQ_COMMITMENTS_SECURED_RE_FDIC">"c6527"</definedName>
    <definedName name="IQ_COMMITMENTS_SELL_SEC_OTHER_OFF_BS_FFIEC">"c13129"</definedName>
    <definedName name="IQ_COMMODITY_EXPOSURE_FFIEC">"c13061"</definedName>
    <definedName name="IQ_COMMODITY_EXPOSURES_FDIC">"c6665"</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"c6202"</definedName>
    <definedName name="IQ_COMMON_APIC_REIT">"c188"</definedName>
    <definedName name="IQ_COMMON_APIC_UTI">"c189"</definedName>
    <definedName name="IQ_COMMON_DIV">"c3006"</definedName>
    <definedName name="IQ_COMMON_DIV_CF">"c190"</definedName>
    <definedName name="IQ_COMMON_EQUITY_10YR_ANN_CAGR">"c6060"</definedName>
    <definedName name="IQ_COMMON_EQUITY_10YR_ANN_GROWTH">"c191"</definedName>
    <definedName name="IQ_COMMON_EQUITY_1YR_ANN_GROWTH">"c192"</definedName>
    <definedName name="IQ_COMMON_EQUITY_2YR_ANN_CAGR">"c6061"</definedName>
    <definedName name="IQ_COMMON_EQUITY_2YR_ANN_GROWTH">"c193"</definedName>
    <definedName name="IQ_COMMON_EQUITY_3YR_ANN_CAGR">"c6062"</definedName>
    <definedName name="IQ_COMMON_EQUITY_3YR_ANN_GROWTH">"c194"</definedName>
    <definedName name="IQ_COMMON_EQUITY_5YR_ANN_CAGR">"c6063"</definedName>
    <definedName name="IQ_COMMON_EQUITY_5YR_ANN_GROWTH">"c195"</definedName>
    <definedName name="IQ_COMMON_EQUITY_7YR_ANN_CAGR">"c6064"</definedName>
    <definedName name="IQ_COMMON_EQUITY_7YR_ANN_GROWTH">"c196"</definedName>
    <definedName name="IQ_COMMON_FDIC">"c6350"</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"c6203"</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"c6204"</definedName>
    <definedName name="IQ_COMMON_REP_REIT">"c211"</definedName>
    <definedName name="IQ_COMMON_REP_UTI">"c212"</definedName>
    <definedName name="IQ_COMMON_STOCK">"c1358"</definedName>
    <definedName name="IQ_COMMON_STOCK_FFIEC">"c12876"</definedName>
    <definedName name="IQ_COMP_BENEFITS">"c213"</definedName>
    <definedName name="IQ_COMPANY_ADDRESS">"c214"</definedName>
    <definedName name="IQ_COMPANY_ID">"c3513"</definedName>
    <definedName name="IQ_COMPANY_NAME">"c215"</definedName>
    <definedName name="IQ_COMPANY_NAME_LONG">"c1585"</definedName>
    <definedName name="IQ_COMPANY_NOTE">"c6792"</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ICKER_NO_EXCH">"c15490"</definedName>
    <definedName name="IQ_COMPANY_TYPE">"c2096"</definedName>
    <definedName name="IQ_COMPANY_WEBSITE">"c220"</definedName>
    <definedName name="IQ_COMPANY_ZIP">"c221"</definedName>
    <definedName name="IQ_COMPETITOR_ALL">"c13754"</definedName>
    <definedName name="IQ_COMPETITOR_NAMED_BY_COMPANY">"c13751"</definedName>
    <definedName name="IQ_COMPETITOR_NAMED_BY_COMPETITOR">"c13752"</definedName>
    <definedName name="IQ_COMPETITOR_NAMED_BY_THIRDPARTY">"c13753"</definedName>
    <definedName name="IQ_COMPOSITE_CYCLICAL_IND">"c6830"</definedName>
    <definedName name="IQ_COMPOSITE_CYCLICAL_IND_APR">"c7490"</definedName>
    <definedName name="IQ_COMPOSITE_CYCLICAL_IND_APR_FC">"c8370"</definedName>
    <definedName name="IQ_COMPOSITE_CYCLICAL_IND_FC">"c7710"</definedName>
    <definedName name="IQ_COMPOSITE_CYCLICAL_IND_POP">"c7050"</definedName>
    <definedName name="IQ_COMPOSITE_CYCLICAL_IND_POP_FC">"c7930"</definedName>
    <definedName name="IQ_COMPOSITE_CYCLICAL_IND_YOY">"c7270"</definedName>
    <definedName name="IQ_COMPOSITE_CYCLICAL_IND_YOY_FC">"c8150"</definedName>
    <definedName name="IQ_CONSOL_BEDS">"c8782"</definedName>
    <definedName name="IQ_CONSOL_PROP_OPERATIONAL">"c8758"</definedName>
    <definedName name="IQ_CONSOL_PROP_OTHER_OWNED">"c8760"</definedName>
    <definedName name="IQ_CONSOL_PROP_TOTAL">"c8761"</definedName>
    <definedName name="IQ_CONSOL_PROP_UNDEVELOPED">"c8759"</definedName>
    <definedName name="IQ_CONSOL_ROOMS">"c8786"</definedName>
    <definedName name="IQ_CONSOL_SQ_FT_OPERATIONAL">"c8774"</definedName>
    <definedName name="IQ_CONSOL_SQ_FT_OTHER_OWNED">"c8776"</definedName>
    <definedName name="IQ_CONSOL_SQ_FT_TOTAL">"c8777"</definedName>
    <definedName name="IQ_CONSOL_SQ_FT_UNDEVELOPED">"c8775"</definedName>
    <definedName name="IQ_CONSOL_UNITS_OPERATIONAL">"c8766"</definedName>
    <definedName name="IQ_CONSOL_UNITS_OTHER_OWNED">"c8768"</definedName>
    <definedName name="IQ_CONSOL_UNITS_TOTAL">"c8769"</definedName>
    <definedName name="IQ_CONSOL_UNITS_UNDEVELOPED">"c8767"</definedName>
    <definedName name="IQ_CONSOLIDATED_ASSETS_QUARTERLY_AVG_FFIEC">"c13087"</definedName>
    <definedName name="IQ_CONSOLIDATED_NI_FOREIGN_FFIEC">"c15396"</definedName>
    <definedName name="IQ_CONST_LAND_DEV_LOANS_TOT_LOANS_FFIEC">"c13865"</definedName>
    <definedName name="IQ_CONST_LAND_DEVELOP_OTHER_DOM_CHARGE_OFFS_FFIEC">"c13628"</definedName>
    <definedName name="IQ_CONST_LAND_DEVELOP_OTHER_DOM_RECOV_FFIEC">"c13632"</definedName>
    <definedName name="IQ_CONSTRUCTION_DEV_LOANS_FDIC">"c6313"</definedName>
    <definedName name="IQ_CONSTRUCTION_LAND_DEV_DOM_FFIEC">"c15267"</definedName>
    <definedName name="IQ_CONSTRUCTION_LAND_DEVELOPMENT_CHARGE_OFFS_FDIC">"c6594"</definedName>
    <definedName name="IQ_CONSTRUCTION_LAND_DEVELOPMENT_NET_CHARGE_OFFS_FDIC">"c6632"</definedName>
    <definedName name="IQ_CONSTRUCTION_LAND_DEVELOPMENT_RECOVERIES_FDIC">"c6613"</definedName>
    <definedName name="IQ_CONSTRUCTION_LL_REC_DOM_FFIEC">"c12900"</definedName>
    <definedName name="IQ_CONSTRUCTION_LOANS">"c222"</definedName>
    <definedName name="IQ_CONSTRUCTION_LOANS_DOM_DUE_30_89_FFIEC">"c13256"</definedName>
    <definedName name="IQ_CONSTRUCTION_LOANS_DOM_DUE_90_FFIEC">"c13284"</definedName>
    <definedName name="IQ_CONSTRUCTION_LOANS_DOM_NON_ACCRUAL_FFIEC">"c13310"</definedName>
    <definedName name="IQ_CONSTRUCTION_LOANS_GROSS_LOANS_FFIEC">"c13401"</definedName>
    <definedName name="IQ_CONSTRUCTION_RISK_BASED_FFIEC">"c13422"</definedName>
    <definedName name="IQ_CONSULTING_FFIEC">"c13055"</definedName>
    <definedName name="IQ_CONSUMER_COMFORT">"c6831"</definedName>
    <definedName name="IQ_CONSUMER_COMFORT_APR">"c7491"</definedName>
    <definedName name="IQ_CONSUMER_COMFORT_APR_FC">"c8371"</definedName>
    <definedName name="IQ_CONSUMER_COMFORT_FC">"c7711"</definedName>
    <definedName name="IQ_CONSUMER_COMFORT_POP">"c7051"</definedName>
    <definedName name="IQ_CONSUMER_COMFORT_POP_FC">"c7931"</definedName>
    <definedName name="IQ_CONSUMER_CONFIDENCE">"c6832"</definedName>
    <definedName name="IQ_CONSUMER_CONFIDENCE_APR">"c7492"</definedName>
    <definedName name="IQ_CONSUMER_CONFIDENCE_APR_FC">"c8372"</definedName>
    <definedName name="IQ_CONSUMER_CONFIDENCE_FC">"c7712"</definedName>
    <definedName name="IQ_CONSUMER_CONFIDENCE_POP">"c7052"</definedName>
    <definedName name="IQ_CONSUMER_CONFIDENCE_POP_FC">"c7932"</definedName>
    <definedName name="IQ_CONSUMER_CONFIDENCE_YOY">"c7272"</definedName>
    <definedName name="IQ_CONSUMER_CONFIDENCE_YOY_FC">"c8152"</definedName>
    <definedName name="IQ_CONSUMER_LEASES_LL_REC_FFIEC">"c12895"</definedName>
    <definedName name="IQ_CONSUMER_LENDING">"c6833"</definedName>
    <definedName name="IQ_CONSUMER_LENDING_APR">"c7493"</definedName>
    <definedName name="IQ_CONSUMER_LENDING_APR_FC">"c8373"</definedName>
    <definedName name="IQ_CONSUMER_LENDING_FC">"c7713"</definedName>
    <definedName name="IQ_CONSUMER_LENDING_GROSS">"c6878"</definedName>
    <definedName name="IQ_CONSUMER_LENDING_GROSS_APR">"c7538"</definedName>
    <definedName name="IQ_CONSUMER_LENDING_GROSS_APR_FC">"c8418"</definedName>
    <definedName name="IQ_CONSUMER_LENDING_GROSS_FC">"c7758"</definedName>
    <definedName name="IQ_CONSUMER_LENDING_GROSS_POP">"c7098"</definedName>
    <definedName name="IQ_CONSUMER_LENDING_GROSS_POP_FC">"c7978"</definedName>
    <definedName name="IQ_CONSUMER_LENDING_GROSS_YOY">"c7318"</definedName>
    <definedName name="IQ_CONSUMER_LENDING_GROSS_YOY_FC">"c8198"</definedName>
    <definedName name="IQ_CONSUMER_LENDING_NET">"c6922"</definedName>
    <definedName name="IQ_CONSUMER_LENDING_NET_APR">"c7582"</definedName>
    <definedName name="IQ_CONSUMER_LENDING_NET_APR_FC">"c8462"</definedName>
    <definedName name="IQ_CONSUMER_LENDING_NET_FC">"c7802"</definedName>
    <definedName name="IQ_CONSUMER_LENDING_NET_POP">"c7142"</definedName>
    <definedName name="IQ_CONSUMER_LENDING_NET_POP_FC">"c8022"</definedName>
    <definedName name="IQ_CONSUMER_LENDING_NET_YOY">"c7362"</definedName>
    <definedName name="IQ_CONSUMER_LENDING_NET_YOY_FC">"c8242"</definedName>
    <definedName name="IQ_CONSUMER_LENDING_POP">"c7053"</definedName>
    <definedName name="IQ_CONSUMER_LENDING_POP_FC">"c7933"</definedName>
    <definedName name="IQ_CONSUMER_LENDING_TOTAL">"c7018"</definedName>
    <definedName name="IQ_CONSUMER_LENDING_TOTAL_APR">"c7678"</definedName>
    <definedName name="IQ_CONSUMER_LENDING_TOTAL_APR_FC">"c8558"</definedName>
    <definedName name="IQ_CONSUMER_LENDING_TOTAL_FC">"c7898"</definedName>
    <definedName name="IQ_CONSUMER_LENDING_TOTAL_POP">"c7238"</definedName>
    <definedName name="IQ_CONSUMER_LENDING_TOTAL_POP_FC">"c8118"</definedName>
    <definedName name="IQ_CONSUMER_LENDING_TOTAL_YOY">"c7458"</definedName>
    <definedName name="IQ_CONSUMER_LENDING_TOTAL_YOY_FC">"c8338"</definedName>
    <definedName name="IQ_CONSUMER_LENDING_YOY">"c7273"</definedName>
    <definedName name="IQ_CONSUMER_LENDING_YOY_FC">"c8153"</definedName>
    <definedName name="IQ_CONSUMER_LOANS">"c223"</definedName>
    <definedName name="IQ_CONSUMER_LOANS_LL_REC_DOM_FFIEC">"c12911"</definedName>
    <definedName name="IQ_CONSUMER_LOANS_TOT_LOANS_FFIEC">"c13875"</definedName>
    <definedName name="IQ_CONSUMER_SPENDING">"c6834"</definedName>
    <definedName name="IQ_CONSUMER_SPENDING_APR">"c7494"</definedName>
    <definedName name="IQ_CONSUMER_SPENDING_APR_FC">"c8374"</definedName>
    <definedName name="IQ_CONSUMER_SPENDING_DURABLE">"c6835"</definedName>
    <definedName name="IQ_CONSUMER_SPENDING_DURABLE_APR">"c7495"</definedName>
    <definedName name="IQ_CONSUMER_SPENDING_DURABLE_APR_FC">"c8375"</definedName>
    <definedName name="IQ_CONSUMER_SPENDING_DURABLE_FC">"c7715"</definedName>
    <definedName name="IQ_CONSUMER_SPENDING_DURABLE_POP">"c7055"</definedName>
    <definedName name="IQ_CONSUMER_SPENDING_DURABLE_POP_FC">"c7935"</definedName>
    <definedName name="IQ_CONSUMER_SPENDING_DURABLE_REAL">"c6964"</definedName>
    <definedName name="IQ_CONSUMER_SPENDING_DURABLE_REAL_APR">"c7624"</definedName>
    <definedName name="IQ_CONSUMER_SPENDING_DURABLE_REAL_APR_FC">"c8504"</definedName>
    <definedName name="IQ_CONSUMER_SPENDING_DURABLE_REAL_FC">"c7844"</definedName>
    <definedName name="IQ_CONSUMER_SPENDING_DURABLE_REAL_POP">"c7184"</definedName>
    <definedName name="IQ_CONSUMER_SPENDING_DURABLE_REAL_POP_FC">"c8064"</definedName>
    <definedName name="IQ_CONSUMER_SPENDING_DURABLE_REAL_SAAR">"c6965"</definedName>
    <definedName name="IQ_CONSUMER_SPENDING_DURABLE_REAL_SAAR_APR">"c7625"</definedName>
    <definedName name="IQ_CONSUMER_SPENDING_DURABLE_REAL_SAAR_APR_FC">"c8505"</definedName>
    <definedName name="IQ_CONSUMER_SPENDING_DURABLE_REAL_SAAR_FC">"c7845"</definedName>
    <definedName name="IQ_CONSUMER_SPENDING_DURABLE_REAL_SAAR_POP">"c7185"</definedName>
    <definedName name="IQ_CONSUMER_SPENDING_DURABLE_REAL_SAAR_POP_FC">"c8065"</definedName>
    <definedName name="IQ_CONSUMER_SPENDING_DURABLE_REAL_SAAR_YOY">"c7405"</definedName>
    <definedName name="IQ_CONSUMER_SPENDING_DURABLE_REAL_SAAR_YOY_FC">"c8285"</definedName>
    <definedName name="IQ_CONSUMER_SPENDING_DURABLE_REAL_YOY">"c7404"</definedName>
    <definedName name="IQ_CONSUMER_SPENDING_DURABLE_REAL_YOY_FC">"c8284"</definedName>
    <definedName name="IQ_CONSUMER_SPENDING_DURABLE_YOY">"c7275"</definedName>
    <definedName name="IQ_CONSUMER_SPENDING_DURABLE_YOY_FC">"c8155"</definedName>
    <definedName name="IQ_CONSUMER_SPENDING_FC">"c7714"</definedName>
    <definedName name="IQ_CONSUMER_SPENDING_NONDURABLE">"c6836"</definedName>
    <definedName name="IQ_CONSUMER_SPENDING_NONDURABLE_APR">"c7496"</definedName>
    <definedName name="IQ_CONSUMER_SPENDING_NONDURABLE_APR_FC">"c8376"</definedName>
    <definedName name="IQ_CONSUMER_SPENDING_NONDURABLE_FC">"c7716"</definedName>
    <definedName name="IQ_CONSUMER_SPENDING_NONDURABLE_POP">"c7056"</definedName>
    <definedName name="IQ_CONSUMER_SPENDING_NONDURABLE_POP_FC">"c7936"</definedName>
    <definedName name="IQ_CONSUMER_SPENDING_NONDURABLE_REAL">"c6966"</definedName>
    <definedName name="IQ_CONSUMER_SPENDING_NONDURABLE_REAL_APR">"c7626"</definedName>
    <definedName name="IQ_CONSUMER_SPENDING_NONDURABLE_REAL_APR_FC">"c8506"</definedName>
    <definedName name="IQ_CONSUMER_SPENDING_NONDURABLE_REAL_FC">"c7846"</definedName>
    <definedName name="IQ_CONSUMER_SPENDING_NONDURABLE_REAL_POP">"c7186"</definedName>
    <definedName name="IQ_CONSUMER_SPENDING_NONDURABLE_REAL_POP_FC">"c8066"</definedName>
    <definedName name="IQ_CONSUMER_SPENDING_NONDURABLE_REAL_SAAR">"c6967"</definedName>
    <definedName name="IQ_CONSUMER_SPENDING_NONDURABLE_REAL_SAAR_APR">"c7627"</definedName>
    <definedName name="IQ_CONSUMER_SPENDING_NONDURABLE_REAL_SAAR_APR_FC">"c8507"</definedName>
    <definedName name="IQ_CONSUMER_SPENDING_NONDURABLE_REAL_SAAR_FC">"c7847"</definedName>
    <definedName name="IQ_CONSUMER_SPENDING_NONDURABLE_REAL_SAAR_POP">"c7187"</definedName>
    <definedName name="IQ_CONSUMER_SPENDING_NONDURABLE_REAL_SAAR_POP_FC">"c8067"</definedName>
    <definedName name="IQ_CONSUMER_SPENDING_NONDURABLE_REAL_SAAR_YOY">"c7407"</definedName>
    <definedName name="IQ_CONSUMER_SPENDING_NONDURABLE_REAL_SAAR_YOY_FC">"c8287"</definedName>
    <definedName name="IQ_CONSUMER_SPENDING_NONDURABLE_REAL_YOY">"c7406"</definedName>
    <definedName name="IQ_CONSUMER_SPENDING_NONDURABLE_REAL_YOY_FC">"c8286"</definedName>
    <definedName name="IQ_CONSUMER_SPENDING_NONDURABLE_YOY">"c7276"</definedName>
    <definedName name="IQ_CONSUMER_SPENDING_NONDURABLE_YOY_FC">"c8156"</definedName>
    <definedName name="IQ_CONSUMER_SPENDING_POP">"c7054"</definedName>
    <definedName name="IQ_CONSUMER_SPENDING_POP_FC">"c7934"</definedName>
    <definedName name="IQ_CONSUMER_SPENDING_REAL">"c6963"</definedName>
    <definedName name="IQ_CONSUMER_SPENDING_REAL_APR">"c7623"</definedName>
    <definedName name="IQ_CONSUMER_SPENDING_REAL_APR_FC">"c8503"</definedName>
    <definedName name="IQ_CONSUMER_SPENDING_REAL_FC">"c7843"</definedName>
    <definedName name="IQ_CONSUMER_SPENDING_REAL_POP">"c7183"</definedName>
    <definedName name="IQ_CONSUMER_SPENDING_REAL_POP_FC">"c8063"</definedName>
    <definedName name="IQ_CONSUMER_SPENDING_REAL_SAAR">"c6968"</definedName>
    <definedName name="IQ_CONSUMER_SPENDING_REAL_SAAR_APR">"c7628"</definedName>
    <definedName name="IQ_CONSUMER_SPENDING_REAL_SAAR_APR_FC">"c8508"</definedName>
    <definedName name="IQ_CONSUMER_SPENDING_REAL_SAAR_FC">"c7848"</definedName>
    <definedName name="IQ_CONSUMER_SPENDING_REAL_SAAR_POP">"c7188"</definedName>
    <definedName name="IQ_CONSUMER_SPENDING_REAL_SAAR_POP_FC">"c8068"</definedName>
    <definedName name="IQ_CONSUMER_SPENDING_REAL_SAAR_YOY">"c7408"</definedName>
    <definedName name="IQ_CONSUMER_SPENDING_REAL_SAAR_YOY_FC">"c8288"</definedName>
    <definedName name="IQ_CONSUMER_SPENDING_REAL_USD_APR_FC">"c11921"</definedName>
    <definedName name="IQ_CONSUMER_SPENDING_REAL_USD_FC">"c11918"</definedName>
    <definedName name="IQ_CONSUMER_SPENDING_REAL_USD_POP_FC">"c11919"</definedName>
    <definedName name="IQ_CONSUMER_SPENDING_REAL_USD_YOY_FC">"c11920"</definedName>
    <definedName name="IQ_CONSUMER_SPENDING_REAL_YOY">"c7403"</definedName>
    <definedName name="IQ_CONSUMER_SPENDING_REAL_YOY_FC">"c8283"</definedName>
    <definedName name="IQ_CONSUMER_SPENDING_SERVICES">"c6837"</definedName>
    <definedName name="IQ_CONSUMER_SPENDING_SERVICES_APR">"c7497"</definedName>
    <definedName name="IQ_CONSUMER_SPENDING_SERVICES_APR_FC">"c8377"</definedName>
    <definedName name="IQ_CONSUMER_SPENDING_SERVICES_FC">"c7717"</definedName>
    <definedName name="IQ_CONSUMER_SPENDING_SERVICES_POP">"c7057"</definedName>
    <definedName name="IQ_CONSUMER_SPENDING_SERVICES_POP_FC">"c7937"</definedName>
    <definedName name="IQ_CONSUMER_SPENDING_SERVICES_REAL">"c6969"</definedName>
    <definedName name="IQ_CONSUMER_SPENDING_SERVICES_REAL_APR">"c7629"</definedName>
    <definedName name="IQ_CONSUMER_SPENDING_SERVICES_REAL_APR_FC">"c8509"</definedName>
    <definedName name="IQ_CONSUMER_SPENDING_SERVICES_REAL_FC">"c7849"</definedName>
    <definedName name="IQ_CONSUMER_SPENDING_SERVICES_REAL_POP">"c7189"</definedName>
    <definedName name="IQ_CONSUMER_SPENDING_SERVICES_REAL_POP_FC">"c8069"</definedName>
    <definedName name="IQ_CONSUMER_SPENDING_SERVICES_REAL_SAAR">"c6970"</definedName>
    <definedName name="IQ_CONSUMER_SPENDING_SERVICES_REAL_SAAR_APR">"c7630"</definedName>
    <definedName name="IQ_CONSUMER_SPENDING_SERVICES_REAL_SAAR_APR_FC">"c8510"</definedName>
    <definedName name="IQ_CONSUMER_SPENDING_SERVICES_REAL_SAAR_FC">"c7850"</definedName>
    <definedName name="IQ_CONSUMER_SPENDING_SERVICES_REAL_SAAR_POP">"c7190"</definedName>
    <definedName name="IQ_CONSUMER_SPENDING_SERVICES_REAL_SAAR_POP_FC">"c8070"</definedName>
    <definedName name="IQ_CONSUMER_SPENDING_SERVICES_REAL_SAAR_YOY">"c7410"</definedName>
    <definedName name="IQ_CONSUMER_SPENDING_SERVICES_REAL_SAAR_YOY_FC">"c8290"</definedName>
    <definedName name="IQ_CONSUMER_SPENDING_SERVICES_REAL_YOY">"c7409"</definedName>
    <definedName name="IQ_CONSUMER_SPENDING_SERVICES_REAL_YOY_FC">"c8289"</definedName>
    <definedName name="IQ_CONSUMER_SPENDING_SERVICES_YOY">"c7277"</definedName>
    <definedName name="IQ_CONSUMER_SPENDING_SERVICES_YOY_FC">"c8157"</definedName>
    <definedName name="IQ_CONSUMER_SPENDING_YOY">"c7274"</definedName>
    <definedName name="IQ_CONSUMER_SPENDING_YOY_FC">"c8154"</definedName>
    <definedName name="IQ_CONTRACTS_OTHER_COMMODITIES_EQUITIES._FDIC">"c6522"</definedName>
    <definedName name="IQ_CONTRACTS_OTHER_COMMODITIES_EQUITIES_FDIC">"c6522"</definedName>
    <definedName name="IQ_CONTRIB_ID_DET_EST">"c12045"</definedName>
    <definedName name="IQ_CONTRIB_ID_DET_EST_CIQ">"c12105"</definedName>
    <definedName name="IQ_CONTRIB_ID_NON_PER_DET_EST">"c13824"</definedName>
    <definedName name="IQ_CONTRIB_ID_NON_PER_DET_EST_CIQ">"c13825"</definedName>
    <definedName name="IQ_CONTRIB_NAME_DET_EST">"c12046"</definedName>
    <definedName name="IQ_CONTRIB_NAME_DET_EST_CIQ">"c12106"</definedName>
    <definedName name="IQ_CONTRIB_NAME_NON_PER_DET_EST">"c12760"</definedName>
    <definedName name="IQ_CONTRIB_NAME_NON_PER_DET_EST_CIQ">"c12761"</definedName>
    <definedName name="IQ_CONTRIB_REC_DET_EST">"c12051"</definedName>
    <definedName name="IQ_CONTRIB_REC_DET_EST_CIQ">"c12111"</definedName>
    <definedName name="IQ_CONTRIB_REC_DET_EST_DATE">"c12204"</definedName>
    <definedName name="IQ_CONTRIB_REC_DET_EST_DATE_CIQ">"c12257"</definedName>
    <definedName name="IQ_CONTRIB_REC_DET_EST_ORIGIN">"c12577"</definedName>
    <definedName name="IQ_CONTRIB_REC_DET_EST_ORIGIN_CIQ">"c12626"</definedName>
    <definedName name="IQ_CONTRIBUTOR_CIQID">"c13742"</definedName>
    <definedName name="IQ_CONTRIBUTOR_NAME">"c13735"</definedName>
    <definedName name="IQ_CONTRIBUTOR_START_DATE">"c13741"</definedName>
    <definedName name="IQ_CONV_DATE">"c2191"</definedName>
    <definedName name="IQ_CONV_EXP_DATE">"c3043"</definedName>
    <definedName name="IQ_CONV_PREMIUM">"c2195"</definedName>
    <definedName name="IQ_CONV_PRICE">"c2193"</definedName>
    <definedName name="IQ_CONV_RATE">"c2192"</definedName>
    <definedName name="IQ_CONV_RATIO">"c2192"</definedName>
    <definedName name="IQ_CONV_SECURITY">"c2189"</definedName>
    <definedName name="IQ_CONV_SECURITY_ISSUER">"c2190"</definedName>
    <definedName name="IQ_CONV_SECURITY_PRICE">"c2194"</definedName>
    <definedName name="IQ_CONVERSION_COMMON_FFIEC">"c12964"</definedName>
    <definedName name="IQ_CONVERSION_PREF_FFIEC">"c12962"</definedName>
    <definedName name="IQ_CONVERT">"c2536"</definedName>
    <definedName name="IQ_CONVERT_PCT">"c2537"</definedName>
    <definedName name="IQ_CONVEXITY">"c2182"</definedName>
    <definedName name="IQ_CONVEYED_TO_OTHERS_FDIC">"c6534"</definedName>
    <definedName name="IQ_COO_ID">"c15222"</definedName>
    <definedName name="IQ_COO_NAME">"c15221"</definedName>
    <definedName name="IQ_CORE_CAPITAL_RATIO_FDIC">"c6745"</definedName>
    <definedName name="IQ_CORE_DEPOSITS_ASSETS_TOT_FFIEC">"c13442"</definedName>
    <definedName name="IQ_CORE_DEPOSITS_FFIEC">"c13862"</definedName>
    <definedName name="IQ_CORE_DEPOSITS_TOT_DEPOSITS_FFIEC">"c13911"</definedName>
    <definedName name="IQ_CORE_TIER_ONE_CAPITAL">"c15244"</definedName>
    <definedName name="IQ_CORE_TIER_ONE_CAPITAL_RATIO">"c15240"</definedName>
    <definedName name="IQ_CORP_GOODS_PRICE_INDEX_APR_FC_UNUSED">"c8381"</definedName>
    <definedName name="IQ_CORP_GOODS_PRICE_INDEX_APR_FC_UNUSED_UNUSED_UNUSED">"c8381"</definedName>
    <definedName name="IQ_CORP_GOODS_PRICE_INDEX_APR_UNUSED">"c7501"</definedName>
    <definedName name="IQ_CORP_GOODS_PRICE_INDEX_APR_UNUSED_UNUSED_UNUSED">"c7501"</definedName>
    <definedName name="IQ_CORP_GOODS_PRICE_INDEX_FC_UNUSED">"c7721"</definedName>
    <definedName name="IQ_CORP_GOODS_PRICE_INDEX_FC_UNUSED_UNUSED_UNUSED">"c7721"</definedName>
    <definedName name="IQ_CORP_GOODS_PRICE_INDEX_POP_FC_UNUSED">"c7941"</definedName>
    <definedName name="IQ_CORP_GOODS_PRICE_INDEX_POP_FC_UNUSED_UNUSED_UNUSED">"c7941"</definedName>
    <definedName name="IQ_CORP_GOODS_PRICE_INDEX_POP_UNUSED">"c7061"</definedName>
    <definedName name="IQ_CORP_GOODS_PRICE_INDEX_POP_UNUSED_UNUSED_UNUSED">"c7061"</definedName>
    <definedName name="IQ_CORP_GOODS_PRICE_INDEX_UNUSED">"c6841"</definedName>
    <definedName name="IQ_CORP_GOODS_PRICE_INDEX_UNUSED_UNUSED_UNUSED">"c6841"</definedName>
    <definedName name="IQ_CORP_GOODS_PRICE_INDEX_YOY_FC_UNUSED">"c8161"</definedName>
    <definedName name="IQ_CORP_GOODS_PRICE_INDEX_YOY_FC_UNUSED_UNUSED_UNUSED">"c8161"</definedName>
    <definedName name="IQ_CORP_GOODS_PRICE_INDEX_YOY_UNUSED">"c7281"</definedName>
    <definedName name="IQ_CORP_GOODS_PRICE_INDEX_YOY_UNUSED_UNUSED_UNUSED">"c7281"</definedName>
    <definedName name="IQ_CORP_PROFITS">"c6843"</definedName>
    <definedName name="IQ_CORP_PROFITS_AFTER_TAX_SAAR">"c6842"</definedName>
    <definedName name="IQ_CORP_PROFITS_AFTER_TAX_SAAR_APR">"c7502"</definedName>
    <definedName name="IQ_CORP_PROFITS_AFTER_TAX_SAAR_APR_FC">"c8382"</definedName>
    <definedName name="IQ_CORP_PROFITS_AFTER_TAX_SAAR_FC">"c7722"</definedName>
    <definedName name="IQ_CORP_PROFITS_AFTER_TAX_SAAR_POP">"c7062"</definedName>
    <definedName name="IQ_CORP_PROFITS_AFTER_TAX_SAAR_POP_FC">"c7942"</definedName>
    <definedName name="IQ_CORP_PROFITS_AFTER_TAX_SAAR_YOY">"c7282"</definedName>
    <definedName name="IQ_CORP_PROFITS_AFTER_TAX_SAAR_YOY_FC">"c8162"</definedName>
    <definedName name="IQ_CORP_PROFITS_APR">"c7503"</definedName>
    <definedName name="IQ_CORP_PROFITS_APR_FC">"c8383"</definedName>
    <definedName name="IQ_CORP_PROFITS_FC">"c7723"</definedName>
    <definedName name="IQ_CORP_PROFITS_POP">"c7063"</definedName>
    <definedName name="IQ_CORP_PROFITS_POP_FC">"c7943"</definedName>
    <definedName name="IQ_CORP_PROFITS_SAAR">"c6844"</definedName>
    <definedName name="IQ_CORP_PROFITS_SAAR_APR">"c7504"</definedName>
    <definedName name="IQ_CORP_PROFITS_SAAR_APR_FC">"c8384"</definedName>
    <definedName name="IQ_CORP_PROFITS_SAAR_FC">"c7724"</definedName>
    <definedName name="IQ_CORP_PROFITS_SAAR_POP">"c7064"</definedName>
    <definedName name="IQ_CORP_PROFITS_SAAR_POP_FC">"c7944"</definedName>
    <definedName name="IQ_CORP_PROFITS_SAAR_YOY">"c7284"</definedName>
    <definedName name="IQ_CORP_PROFITS_SAAR_YOY_FC">"c8164"</definedName>
    <definedName name="IQ_CORP_PROFITS_YOY">"c7283"</definedName>
    <definedName name="IQ_CORP_PROFITS_YOY_FC">"c8163"</definedName>
    <definedName name="IQ_CORPORATE_OVER_TOTAL">"c13767"</definedName>
    <definedName name="IQ_COST_BORROWED_FUNDS_FFIEC">"c13492"</definedName>
    <definedName name="IQ_COST_BORROWING">"c2936"</definedName>
    <definedName name="IQ_COST_BORROWINGS">"c225"</definedName>
    <definedName name="IQ_COST_CAPITAL_NEW_BUSINESS">"c9968"</definedName>
    <definedName name="IQ_COST_FOREIGN_DEPOSITS_FFIEC">"c13490"</definedName>
    <definedName name="IQ_COST_FUNDS_PURCHASED_FFIEC">"c13491"</definedName>
    <definedName name="IQ_COST_INT_DEPOSITS_FFIEC">"c13489"</definedName>
    <definedName name="IQ_COST_OF_FUNDING_ASSETS_FDIC">"c6725"</definedName>
    <definedName name="IQ_COST_REV">"c226"</definedName>
    <definedName name="IQ_COST_REVENUE">"c1359"</definedName>
    <definedName name="IQ_COST_SAVINGS">"c227"</definedName>
    <definedName name="IQ_COST_SERVICE">"c228"</definedName>
    <definedName name="IQ_COST_SOLVENCY_CAPITAL_COVERED">"c9965"</definedName>
    <definedName name="IQ_COST_SOLVENCY_CAPITAL_GROUP">"c9951"</definedName>
    <definedName name="IQ_COST_TOTAL_BORROWINGS">"c229"</definedName>
    <definedName name="IQ_COUNTRY_NAME">"c230"</definedName>
    <definedName name="IQ_COUNTRY_NAME_ECON">"c11752"</definedName>
    <definedName name="IQ_COUPON_FORMULA">"c8965"</definedName>
    <definedName name="IQ_COVERAGE_RATIO">"c15243"</definedName>
    <definedName name="IQ_COVERED_POPS">"c2124"</definedName>
    <definedName name="IQ_CP">"c2495"</definedName>
    <definedName name="IQ_CP_PCT">"c2496"</definedName>
    <definedName name="IQ_CPI">"c6845"</definedName>
    <definedName name="IQ_CPI_APR">"c7505"</definedName>
    <definedName name="IQ_CPI_APR_FC">"c8385"</definedName>
    <definedName name="IQ_CPI_CORE">"c6838"</definedName>
    <definedName name="IQ_CPI_CORE_APR">"c7498"</definedName>
    <definedName name="IQ_CPI_CORE_POP">"c7058"</definedName>
    <definedName name="IQ_CPI_CORE_YOY">"c7278"</definedName>
    <definedName name="IQ_CPI_FC">"c7725"</definedName>
    <definedName name="IQ_CPI_POP">"c7065"</definedName>
    <definedName name="IQ_CPI_POP_FC">"c7945"</definedName>
    <definedName name="IQ_CPI_YOY">"c7285"</definedName>
    <definedName name="IQ_CPI_YOY_FC">"c8165"</definedName>
    <definedName name="IQ_CQ">5000</definedName>
    <definedName name="IQ_CREDIT_CARD_CHARGE_OFFS_FDIC">"c6652"</definedName>
    <definedName name="IQ_CREDIT_CARD_FEE_BNK">"c231"</definedName>
    <definedName name="IQ_CREDIT_CARD_FEE_FIN">"c1583"</definedName>
    <definedName name="IQ_CREDIT_CARD_GROSS_LOANS_FFIEC">"c13412"</definedName>
    <definedName name="IQ_CREDIT_CARD_INTERCHANGE_FEES_FFIEC">"c13046"</definedName>
    <definedName name="IQ_CREDIT_CARD_LINES_FDIC">"c6525"</definedName>
    <definedName name="IQ_CREDIT_CARD_LINES_UNUSED_FFIEC">"c13242"</definedName>
    <definedName name="IQ_CREDIT_CARD_LOANS_CHARGE_OFFS_FFIEC">"c13180"</definedName>
    <definedName name="IQ_CREDIT_CARD_LOANS_DOM_QUARTERLY_AVG_FFIEC">"c15480"</definedName>
    <definedName name="IQ_CREDIT_CARD_LOANS_DUE_30_89_FFIEC">"c13272"</definedName>
    <definedName name="IQ_CREDIT_CARD_LOANS_DUE_90_FFIEC">"c13298"</definedName>
    <definedName name="IQ_CREDIT_CARD_LOANS_FDIC">"c6319"</definedName>
    <definedName name="IQ_CREDIT_CARD_LOANS_NON_ACCRUAL_FFIEC">"c13324"</definedName>
    <definedName name="IQ_CREDIT_CARD_LOANS_RECOV_FFIEC">"c13202"</definedName>
    <definedName name="IQ_CREDIT_CARD_NET_CHARGE_OFFS_FDIC">"c6654"</definedName>
    <definedName name="IQ_CREDIT_CARD_RECOVERIES_FDIC">"c6653"</definedName>
    <definedName name="IQ_CREDIT_CARD_RISK_BASED_FFIEC">"c13433"</definedName>
    <definedName name="IQ_CREDIT_CARDS_CONSUMER_LOANS_FFIEC">"c12822"</definedName>
    <definedName name="IQ_CREDIT_CARDS_LL_REC_FFIEC">"c12889"</definedName>
    <definedName name="IQ_CREDIT_CARDS_LOANS_TRADING_DOM_FFIEC">"c12933"</definedName>
    <definedName name="IQ_CREDIT_EXPOSURE">"c10038"</definedName>
    <definedName name="IQ_CREDIT_EXPOSURE_FFIEC">"c13062"</definedName>
    <definedName name="IQ_CREDIT_LOSS_CF">"c232"</definedName>
    <definedName name="IQ_CREDIT_LOSS_PROVISION_NET_CHARGE_OFFS_FDIC">"c6734"</definedName>
    <definedName name="IQ_CREDIT_LOSSES_DERIVATIVES_FFIEC">"c13068"</definedName>
    <definedName name="IQ_CREDIT_OPTIONS_DERIVATIVES_BENEFICIARY_FFIEC">"c13121"</definedName>
    <definedName name="IQ_CREDIT_OPTIONS_DERIVATIVES_GUARANTOR_FFIEC">"c13114"</definedName>
    <definedName name="IQ_CUMULATIVE_PREFERREDS_T2_FFIEC">"c13145"</definedName>
    <definedName name="IQ_CUMULATIVE_SPLIT_FACTOR">"c2094"</definedName>
    <definedName name="IQ_CURR_ACCT_BALANCE_APR_FC_UNUSED">"c8387"</definedName>
    <definedName name="IQ_CURR_ACCT_BALANCE_APR_FC_UNUSED_UNUSED_UNUSED">"c8387"</definedName>
    <definedName name="IQ_CURR_ACCT_BALANCE_APR_UNUSED">"c7507"</definedName>
    <definedName name="IQ_CURR_ACCT_BALANCE_APR_UNUSED_UNUSED_UNUSED">"c7507"</definedName>
    <definedName name="IQ_CURR_ACCT_BALANCE_FC_UNUSED">"c7727"</definedName>
    <definedName name="IQ_CURR_ACCT_BALANCE_FC_UNUSED_UNUSED_UNUSED">"c7727"</definedName>
    <definedName name="IQ_CURR_ACCT_BALANCE_PCT">"c6846"</definedName>
    <definedName name="IQ_CURR_ACCT_BALANCE_PCT_FC">"c7726"</definedName>
    <definedName name="IQ_CURR_ACCT_BALANCE_PCT_POP">"c7066"</definedName>
    <definedName name="IQ_CURR_ACCT_BALANCE_PCT_POP_FC">"c7946"</definedName>
    <definedName name="IQ_CURR_ACCT_BALANCE_PCT_YOY">"c7286"</definedName>
    <definedName name="IQ_CURR_ACCT_BALANCE_PCT_YOY_FC">"c8166"</definedName>
    <definedName name="IQ_CURR_ACCT_BALANCE_POP_FC_UNUSED">"c7947"</definedName>
    <definedName name="IQ_CURR_ACCT_BALANCE_POP_FC_UNUSED_UNUSED_UNUSED">"c7947"</definedName>
    <definedName name="IQ_CURR_ACCT_BALANCE_POP_UNUSED">"c7067"</definedName>
    <definedName name="IQ_CURR_ACCT_BALANCE_POP_UNUSED_UNUSED_UNUSED">"c7067"</definedName>
    <definedName name="IQ_CURR_ACCT_BALANCE_SAAR">"c6848"</definedName>
    <definedName name="IQ_CURR_ACCT_BALANCE_SAAR_APR">"c7508"</definedName>
    <definedName name="IQ_CURR_ACCT_BALANCE_SAAR_APR_FC">"c8388"</definedName>
    <definedName name="IQ_CURR_ACCT_BALANCE_SAAR_FC">"c7728"</definedName>
    <definedName name="IQ_CURR_ACCT_BALANCE_SAAR_POP">"c7068"</definedName>
    <definedName name="IQ_CURR_ACCT_BALANCE_SAAR_POP_FC">"c7948"</definedName>
    <definedName name="IQ_CURR_ACCT_BALANCE_SAAR_USD_APR_FC">"c11797"</definedName>
    <definedName name="IQ_CURR_ACCT_BALANCE_SAAR_USD_FC">"c11794"</definedName>
    <definedName name="IQ_CURR_ACCT_BALANCE_SAAR_USD_POP_FC">"c11795"</definedName>
    <definedName name="IQ_CURR_ACCT_BALANCE_SAAR_USD_YOY_FC">"c11796"</definedName>
    <definedName name="IQ_CURR_ACCT_BALANCE_SAAR_YOY">"c7288"</definedName>
    <definedName name="IQ_CURR_ACCT_BALANCE_SAAR_YOY_FC">"c8168"</definedName>
    <definedName name="IQ_CURR_ACCT_BALANCE_UNUSED">"c6847"</definedName>
    <definedName name="IQ_CURR_ACCT_BALANCE_UNUSED_UNUSED_UNUSED">"c6847"</definedName>
    <definedName name="IQ_CURR_ACCT_BALANCE_USD">"c11786"</definedName>
    <definedName name="IQ_CURR_ACCT_BALANCE_USD_APR">"c11789"</definedName>
    <definedName name="IQ_CURR_ACCT_BALANCE_USD_APR_FC">"c11793"</definedName>
    <definedName name="IQ_CURR_ACCT_BALANCE_USD_FC">"c11790"</definedName>
    <definedName name="IQ_CURR_ACCT_BALANCE_USD_POP">"c11787"</definedName>
    <definedName name="IQ_CURR_ACCT_BALANCE_USD_POP_FC">"c11791"</definedName>
    <definedName name="IQ_CURR_ACCT_BALANCE_USD_YOY">"c11788"</definedName>
    <definedName name="IQ_CURR_ACCT_BALANCE_USD_YOY_FC">"c11792"</definedName>
    <definedName name="IQ_CURR_ACCT_BALANCE_YOY_FC_UNUSED">"c8167"</definedName>
    <definedName name="IQ_CURR_ACCT_BALANCE_YOY_FC_UNUSED_UNUSED_UNUSED">"c8167"</definedName>
    <definedName name="IQ_CURR_ACCT_BALANCE_YOY_UNUSED">"c7287"</definedName>
    <definedName name="IQ_CURR_ACCT_BALANCE_YOY_UNUSED_UNUSED_UNUSED">"c7287"</definedName>
    <definedName name="IQ_CURR_ACCT_INC_RECEIPTS">"c6849"</definedName>
    <definedName name="IQ_CURR_ACCT_INC_RECEIPTS_APR">"c7509"</definedName>
    <definedName name="IQ_CURR_ACCT_INC_RECEIPTS_APR_FC">"c8389"</definedName>
    <definedName name="IQ_CURR_ACCT_INC_RECEIPTS_FC">"c7729"</definedName>
    <definedName name="IQ_CURR_ACCT_INC_RECEIPTS_POP">"c7069"</definedName>
    <definedName name="IQ_CURR_ACCT_INC_RECEIPTS_POP_FC">"c7949"</definedName>
    <definedName name="IQ_CURR_ACCT_INC_RECEIPTS_YOY">"c7289"</definedName>
    <definedName name="IQ_CURR_ACCT_INC_RECEIPTS_YOY_FC">"c8169"</definedName>
    <definedName name="IQ_CURR_DOMESTIC_TAXES">"c2074"</definedName>
    <definedName name="IQ_CURR_FOREIGN_TAXES">"c2075"</definedName>
    <definedName name="IQ_CURRENCY_COIN_DOM_FFIEC">"c15287"</definedName>
    <definedName name="IQ_CURRENCY_COIN_DOMESTIC_FDIC">"c6388"</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"c6205"</definedName>
    <definedName name="IQ_CURRENCY_GAIN_REIT">"c239"</definedName>
    <definedName name="IQ_CURRENCY_GAIN_UTI">"c240"</definedName>
    <definedName name="IQ_CURRENT_BENCHMARK">"c6780"</definedName>
    <definedName name="IQ_CURRENT_BENCHMARK_CIQID">"c6781"</definedName>
    <definedName name="IQ_CURRENT_BENCHMARK_MATURITY">"c6782"</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"c6283"</definedName>
    <definedName name="IQ_CURRENT_PORT_DEBT_REIT">"c1570"</definedName>
    <definedName name="IQ_CURRENT_PORT_DEBT_UTI">"c1571"</definedName>
    <definedName name="IQ_CURRENT_PORT_FHLB_DEBT">"c5657"</definedName>
    <definedName name="IQ_CURRENT_PORT_LEASES">"c245"</definedName>
    <definedName name="IQ_CURRENT_PORT_PCT">"c2541"</definedName>
    <definedName name="IQ_CURRENT_RATIO">"c246"</definedName>
    <definedName name="IQ_CUSIP">"c2245"</definedName>
    <definedName name="IQ_CUSTOMER_LIAB_ACCEPTANCES_OUT_FFIEC">"c12835"</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"c6206"</definedName>
    <definedName name="IQ_DA_CF_REIT">"c254"</definedName>
    <definedName name="IQ_DA_CF_UTI">"c255"</definedName>
    <definedName name="IQ_DA_EBITDA">"c5528"</definedName>
    <definedName name="IQ_DA_FIN">"c256"</definedName>
    <definedName name="IQ_DA_INS">"c257"</definedName>
    <definedName name="IQ_DA_RE">"c6207"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"c6208"</definedName>
    <definedName name="IQ_DA_SUPPL_CF_REIT">"c266"</definedName>
    <definedName name="IQ_DA_SUPPL_CF_UTI">"c267"</definedName>
    <definedName name="IQ_DA_SUPPL_FIN">"c268"</definedName>
    <definedName name="IQ_DA_SUPPL_INS">"c269"</definedName>
    <definedName name="IQ_DA_SUPPL_RE">"c6209"</definedName>
    <definedName name="IQ_DA_SUPPL_REIT">"c270"</definedName>
    <definedName name="IQ_DA_SUPPL_UTI">"c271"</definedName>
    <definedName name="IQ_DA_UTI">"c272"</definedName>
    <definedName name="IQ_DAILY">500000</definedName>
    <definedName name="IQ_DATA_PROCESSING_EXP_FFIEC">"c13047"</definedName>
    <definedName name="IQ_DATED_DATE">"c2185"</definedName>
    <definedName name="IQ_DAY_COUNT">"c2161"</definedName>
    <definedName name="IQ_DAYS_COVER_SHORT">"c1578"</definedName>
    <definedName name="IQ_DAYS_DELAY">"c8963"</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1_5_INVEST_SECURITIES_FFIEC">"c13465"</definedName>
    <definedName name="IQ_DEBT_ADJ">"c2515"</definedName>
    <definedName name="IQ_DEBT_ADJ_PCT">"c2516"</definedName>
    <definedName name="IQ_DEBT_EQUITY_EST">"c4257"</definedName>
    <definedName name="IQ_DEBT_EQUITY_EST_CIQ">"c4783"</definedName>
    <definedName name="IQ_DEBT_EQUITY_HIGH_EST">"c4258"</definedName>
    <definedName name="IQ_DEBT_EQUITY_HIGH_EST_CIQ">"c4784"</definedName>
    <definedName name="IQ_DEBT_EQUITY_LOW_EST">"c4259"</definedName>
    <definedName name="IQ_DEBT_EQUITY_LOW_EST_CIQ">"c4785"</definedName>
    <definedName name="IQ_DEBT_EQUITY_MEDIAN_EST">"c4260"</definedName>
    <definedName name="IQ_DEBT_EQUITY_MEDIAN_EST_CIQ">"c4786"</definedName>
    <definedName name="IQ_DEBT_EQUITY_NUM_EST">"c4261"</definedName>
    <definedName name="IQ_DEBT_EQUITY_NUM_EST_CIQ">"c4787"</definedName>
    <definedName name="IQ_DEBT_EQUITY_STDDEV_EST">"c4262"</definedName>
    <definedName name="IQ_DEBT_EQUITY_STDDEV_EST_CIQ">"c4788"</definedName>
    <definedName name="IQ_DEBT_EQUIV_NET_PBO">"c2938"</definedName>
    <definedName name="IQ_DEBT_EQUIV_OPER_LEASE">"c2935"</definedName>
    <definedName name="IQ_DEBT_LESS_1YR_INVEST_SECURITIES_FFIEC">"c13464"</definedName>
    <definedName name="IQ_DEBT_MATURING_MORE_THAN_ONE_YEAR_FFIEC">"c13164"</definedName>
    <definedName name="IQ_DEBT_MATURING_WITHIN_ONE_YEAR_FFIEC">"c13163"</definedName>
    <definedName name="IQ_DEBT_SEC_OVER_5YR_INVEST_SECURITIES_FFIEC">"c13466"</definedName>
    <definedName name="IQ_DEBT_SECURITIES_FOREIGN_FFIEC">"c13484"</definedName>
    <definedName name="IQ_DEBT_SECURITIES_OTHER_ASSETS_DUE_30_89_FFIEC">"c13279"</definedName>
    <definedName name="IQ_DEBT_SECURITIES_OTHER_ASSETS_DUE_90_FFIEC">"c13305"</definedName>
    <definedName name="IQ_DEBT_SECURITIES_OTHER_ASSETS_NON_ACCRUAL_FFIEC">"c13331"</definedName>
    <definedName name="IQ_DECREASE_INT_EXPENSE_FFIEC">"c13064"</definedName>
    <definedName name="IQ_DEDUCTIONS_TOTAL_RISK_BASED_CAPITAL_FFIEC">"c13152"</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"c6210"</definedName>
    <definedName name="IQ_DEF_CHARGES_LT_REIT">"c297"</definedName>
    <definedName name="IQ_DEF_CHARGES_LT_UTI">"c298"</definedName>
    <definedName name="IQ_DEF_CHARGES_RE">"c6211"</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SPENDING_REAL_SAAR">"c6971"</definedName>
    <definedName name="IQ_DEF_SPENDING_REAL_SAAR_APR">"c7631"</definedName>
    <definedName name="IQ_DEF_SPENDING_REAL_SAAR_APR_FC">"c8511"</definedName>
    <definedName name="IQ_DEF_SPENDING_REAL_SAAR_FC">"c7851"</definedName>
    <definedName name="IQ_DEF_SPENDING_REAL_SAAR_POP">"c7191"</definedName>
    <definedName name="IQ_DEF_SPENDING_REAL_SAAR_POP_FC">"c8071"</definedName>
    <definedName name="IQ_DEF_SPENDING_REAL_SAAR_YOY">"c7411"</definedName>
    <definedName name="IQ_DEF_SPENDING_REAL_SAAR_YOY_FC">"c8291"</definedName>
    <definedName name="IQ_DEF_TAX_ASSET_LT_BR">"c304"</definedName>
    <definedName name="IQ_DEF_TAX_ASSET_LT_FIN">"c305"</definedName>
    <definedName name="IQ_DEF_TAX_ASSET_LT_INS">"c306"</definedName>
    <definedName name="IQ_DEF_TAX_ASSET_LT_RE">"c6212"</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"c6213"</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_ASSETS_FFIEC">"c12843"</definedName>
    <definedName name="IQ_DEFERRED_TAX_ASSETS_T1_FFIEC">"c13141"</definedName>
    <definedName name="IQ_DEFERRED_TAX_LIAB_FFIEC">"c12870"</definedName>
    <definedName name="IQ_DEFERRED_TAXES">"c1356"</definedName>
    <definedName name="IQ_DEMAND_DEP">"c320"</definedName>
    <definedName name="IQ_DEMAND_DEPOSITS_COMMERCIAL_BANK_SUBS_FFIEC">"c12945"</definedName>
    <definedName name="IQ_DEMAND_DEPOSITS_FDIC">"c6489"</definedName>
    <definedName name="IQ_DEMAND_DEPOSITS_TOT_DEPOSITS_FFIEC">"c13902"</definedName>
    <definedName name="IQ_DEPOSIT_ACCOUNTS_LESS_THAN_100K_FDIC">"c6494"</definedName>
    <definedName name="IQ_DEPOSIT_ACCOUNTS_MORE_THAN_100K_FDIC">"c6492"</definedName>
    <definedName name="IQ_DEPOSITORY_INST_ACCEPTANCES_LL_REC_DOM_FFIEC">"c12908"</definedName>
    <definedName name="IQ_DEPOSITORY_INST_GROSS_LOANS_FFIEC">"c13409"</definedName>
    <definedName name="IQ_DEPOSITORY_INST_RISK_BASED_FFIEC">"c13430"</definedName>
    <definedName name="IQ_DEPOSITORY_INSTITUTIONS_CHARGE_OFFS_FDIC">"c6596"</definedName>
    <definedName name="IQ_DEPOSITORY_INSTITUTIONS_NET_CHARGE_OFFS_FDIC">"c6634"</definedName>
    <definedName name="IQ_DEPOSITORY_INSTITUTIONS_RECOVERIES_FDIC">"c6615"</definedName>
    <definedName name="IQ_DEPOSITS_100K_MORE_ASSETS_TOT_FFIEC">"c13444"</definedName>
    <definedName name="IQ_DEPOSITS_DOM_FFIEC">"c12850"</definedName>
    <definedName name="IQ_DEPOSITS_FAIR_VALUE_TOT_FFIEC">"c13213"</definedName>
    <definedName name="IQ_DEPOSITS_FIN">"c321"</definedName>
    <definedName name="IQ_DEPOSITS_FOREIGN_BANKS_FOREIGN_AGENCIES_FFIEC">"c15344"</definedName>
    <definedName name="IQ_DEPOSITS_FOREIGN_FFIEC">"c12853"</definedName>
    <definedName name="IQ_DEPOSITS_HELD_DOMESTIC_FDIC">"c6340"</definedName>
    <definedName name="IQ_DEPOSITS_HELD_FOREIGN_FDIC">"c6341"</definedName>
    <definedName name="IQ_DEPOSITS_INTEREST_SECURITIES">"c5509"</definedName>
    <definedName name="IQ_DEPOSITS_LESS_100K_COMMERCIAL_BANK_SUBS_FFIEC">"c12948"</definedName>
    <definedName name="IQ_DEPOSITS_LESS_THAN_100K_AFTER_THREE_YEARS_FDIC">"c6464"</definedName>
    <definedName name="IQ_DEPOSITS_LESS_THAN_100K_THREE_MONTHS_FDIC">"c6461"</definedName>
    <definedName name="IQ_DEPOSITS_LESS_THAN_100K_THREE_YEARS_FDIC">"c6463"</definedName>
    <definedName name="IQ_DEPOSITS_LESS_THAN_100K_TWELVE_MONTHS_FDIC">"c6462"</definedName>
    <definedName name="IQ_DEPOSITS_LEVEL_1_FFIEC">"c13221"</definedName>
    <definedName name="IQ_DEPOSITS_LEVEL_2_FFIEC">"c13229"</definedName>
    <definedName name="IQ_DEPOSITS_LEVEL_3_FFIEC">"c13237"</definedName>
    <definedName name="IQ_DEPOSITS_MORE_100K_COMMERCIAL_BANK_SUBS_FFIEC">"c12949"</definedName>
    <definedName name="IQ_DEPOSITS_MORE_THAN_100K_AFTER_THREE_YEARS_FDIC">"c6469"</definedName>
    <definedName name="IQ_DEPOSITS_MORE_THAN_100K_THREE_MONTHS_FDIC">"c6466"</definedName>
    <definedName name="IQ_DEPOSITS_MORE_THAN_100K_THREE_YEARS_FDIC">"c6468"</definedName>
    <definedName name="IQ_DEPOSITS_MORE_THAN_100K_TWELVE_MONTHS_FDIC">"c6467"</definedName>
    <definedName name="IQ_DEPRE_AMORT">"c1360"</definedName>
    <definedName name="IQ_DEPRE_AMORT_SUPPL">"c1593"</definedName>
    <definedName name="IQ_DEPRE_DEPLE">"c1361"</definedName>
    <definedName name="IQ_DEPRE_SUPP">"c1443"</definedName>
    <definedName name="IQ_DERIVATIVE_ASSETS_FAIR_VALUE_TOT_FFIEC">"c15403"</definedName>
    <definedName name="IQ_DERIVATIVE_ASSETS_LEVEL_1_FFIEC">"c15425"</definedName>
    <definedName name="IQ_DERIVATIVE_ASSETS_LEVEL_2_FFIEC">"c15438"</definedName>
    <definedName name="IQ_DERIVATIVE_ASSETS_LEVEL_3_FFIEC">"c15451"</definedName>
    <definedName name="IQ_DERIVATIVE_LIABILITIES_FAIR_VALUE_TOT_FFIEC">"c15407"</definedName>
    <definedName name="IQ_DERIVATIVE_LIABILITIES_LEVEL_1_FFIEC">"c15429"</definedName>
    <definedName name="IQ_DERIVATIVE_LIABILITIES_LEVEL_2_FFIEC">"c15442"</definedName>
    <definedName name="IQ_DERIVATIVE_LIABILITIES_LEVEL_3_FFIEC">"c15455"</definedName>
    <definedName name="IQ_DERIVATIVES_FDIC">"c6523"</definedName>
    <definedName name="IQ_DERIVATIVES_NEGATIVE_FAIR_VALUE_DOM_FFIEC">"c12943"</definedName>
    <definedName name="IQ_DERIVATIVES_NEGATIVE_VALUE_FFIEC">"c12861"</definedName>
    <definedName name="IQ_DERIVATIVES_POS_FAIR_VALUE_FFIEC">"c12827"</definedName>
    <definedName name="IQ_DERIVATIVES_POSITIVE_FAIR_VALUE_TRADING_DOM_FFIEC">"c12938"</definedName>
    <definedName name="IQ_DESCRIPTION_LONG">"c1520"</definedName>
    <definedName name="IQ_DEVELOP_LAND">"c323"</definedName>
    <definedName name="IQ_DIC">"c13834"</definedName>
    <definedName name="IQ_DIFF_LASTCLOSE_TARGET_PRICE">"c1854"</definedName>
    <definedName name="IQ_DIFF_LASTCLOSE_TARGET_PRICE_CIQ">"c4767"</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OUTSTANDING_CURRENT_EST">"c4263"</definedName>
    <definedName name="IQ_DILUT_OUTSTANDING_CURRENT_EST_CIQ">"c4789"</definedName>
    <definedName name="IQ_DILUT_OUTSTANDING_CURRENT_HIGH_EST">"c4264"</definedName>
    <definedName name="IQ_DILUT_OUTSTANDING_CURRENT_HIGH_EST_CIQ">"c4790"</definedName>
    <definedName name="IQ_DILUT_OUTSTANDING_CURRENT_LOW_EST">"c4265"</definedName>
    <definedName name="IQ_DILUT_OUTSTANDING_CURRENT_LOW_EST_CIQ">"c4791"</definedName>
    <definedName name="IQ_DILUT_OUTSTANDING_CURRENT_MEDIAN_EST">"c4266"</definedName>
    <definedName name="IQ_DILUT_OUTSTANDING_CURRENT_MEDIAN_EST_CIQ">"c4792"</definedName>
    <definedName name="IQ_DILUT_OUTSTANDING_CURRENT_NUM_EST">"c4267"</definedName>
    <definedName name="IQ_DILUT_OUTSTANDING_CURRENT_NUM_EST_CIQ">"c4793"</definedName>
    <definedName name="IQ_DILUT_OUTSTANDING_CURRENT_STDDEV_EST">"c4268"</definedName>
    <definedName name="IQ_DILUT_OUTSTANDING_CURRENT_STDDEV_EST_CIQ">"c4794"</definedName>
    <definedName name="IQ_DILUT_WEIGHT">"c326"</definedName>
    <definedName name="IQ_DILUT_WEIGHT_EST">"c4269"</definedName>
    <definedName name="IQ_DILUT_WEIGHT_EST_CIQ">"c4795"</definedName>
    <definedName name="IQ_DILUT_WEIGHT_HIGH_EST">"c4271"</definedName>
    <definedName name="IQ_DILUT_WEIGHT_HIGH_EST_CIQ">"c4796"</definedName>
    <definedName name="IQ_DILUT_WEIGHT_LOW_EST">"c4272"</definedName>
    <definedName name="IQ_DILUT_WEIGHT_LOW_EST_CIQ">"c4797"</definedName>
    <definedName name="IQ_DILUT_WEIGHT_MEDIAN_EST">"c4273"</definedName>
    <definedName name="IQ_DILUT_WEIGHT_MEDIAN_EST_CIQ">"c4798"</definedName>
    <definedName name="IQ_DILUT_WEIGHT_NUM_EST">"c4274"</definedName>
    <definedName name="IQ_DILUT_WEIGHT_NUM_EST_CIQ">"c4799"</definedName>
    <definedName name="IQ_DILUT_WEIGHT_STDDEV_EST">"c4275"</definedName>
    <definedName name="IQ_DILUT_WEIGHT_STDDEV_EST_CIQ">"c4800"</definedName>
    <definedName name="IQ_DIRECT_AH_EARNED">"c2740"</definedName>
    <definedName name="IQ_DIRECT_EARNED">"c2730"</definedName>
    <definedName name="IQ_DIRECT_INDIRECT_RE_VENTURES_FFIEC">"c15266"</definedName>
    <definedName name="IQ_DIRECT_INDIRECT_RE_VENTURES_UNCONSOL_FFIEC">"c15274"</definedName>
    <definedName name="IQ_DIRECT_LIFE_EARNED">"c2735"</definedName>
    <definedName name="IQ_DIRECT_LIFE_IN_FORCE">"c2765"</definedName>
    <definedName name="IQ_DIRECT_PC_EARNED">"c2745"</definedName>
    <definedName name="IQ_DIRECT_WRITTEN">"c2724"</definedName>
    <definedName name="IQ_DIRECTORS_FEES_FFIEC">"c13049"</definedName>
    <definedName name="IQ_DISALLOWED_DEFERRED_TAX_ASSETS_FFIEC">"c13157"</definedName>
    <definedName name="IQ_DISALLOWED_GOODWILL_INTANGIBLE_ASSETS_FFIEC">"c13155"</definedName>
    <definedName name="IQ_DISALLOWED_GOODWILL_INTANGIBLES_T1_FFIEC">"c13137"</definedName>
    <definedName name="IQ_DISALLOWED_SERVICING_ASSETS_FFIEC">"c13156"</definedName>
    <definedName name="IQ_DISALLOWED_SERVICING_ASSETS_T1_FFIEC">"c13140"</definedName>
    <definedName name="IQ_DISCONT_OPER">"c1367"</definedName>
    <definedName name="IQ_DISCOUNT_RATE_PENSION_DOMESTIC">"c327"</definedName>
    <definedName name="IQ_DISCOUNT_RATE_PENSION_FOREIGN">"c328"</definedName>
    <definedName name="IQ_DISPOSABLE_PERSONAL_INC">"c6850"</definedName>
    <definedName name="IQ_DISPOSABLE_PERSONAL_INC_APR">"c7510"</definedName>
    <definedName name="IQ_DISPOSABLE_PERSONAL_INC_APR_FC">"c8390"</definedName>
    <definedName name="IQ_DISPOSABLE_PERSONAL_INC_FC">"c7730"</definedName>
    <definedName name="IQ_DISPOSABLE_PERSONAL_INC_POP">"c7070"</definedName>
    <definedName name="IQ_DISPOSABLE_PERSONAL_INC_POP_FC">"c7950"</definedName>
    <definedName name="IQ_DISPOSABLE_PERSONAL_INC_REAL">"c11922"</definedName>
    <definedName name="IQ_DISPOSABLE_PERSONAL_INC_REAL_APR">"c11925"</definedName>
    <definedName name="IQ_DISPOSABLE_PERSONAL_INC_REAL_POP">"c11923"</definedName>
    <definedName name="IQ_DISPOSABLE_PERSONAL_INC_REAL_YOY">"c11924"</definedName>
    <definedName name="IQ_DISPOSABLE_PERSONAL_INC_SAAR">"c6851"</definedName>
    <definedName name="IQ_DISPOSABLE_PERSONAL_INC_SAAR_APR">"c7511"</definedName>
    <definedName name="IQ_DISPOSABLE_PERSONAL_INC_SAAR_APR_FC">"c8391"</definedName>
    <definedName name="IQ_DISPOSABLE_PERSONAL_INC_SAAR_FC">"c7731"</definedName>
    <definedName name="IQ_DISPOSABLE_PERSONAL_INC_SAAR_POP">"c7071"</definedName>
    <definedName name="IQ_DISPOSABLE_PERSONAL_INC_SAAR_POP_FC">"c7951"</definedName>
    <definedName name="IQ_DISPOSABLE_PERSONAL_INC_SAAR_USD_APR_FC">"c11805"</definedName>
    <definedName name="IQ_DISPOSABLE_PERSONAL_INC_SAAR_USD_FC">"c11802"</definedName>
    <definedName name="IQ_DISPOSABLE_PERSONAL_INC_SAAR_USD_POP_FC">"c11803"</definedName>
    <definedName name="IQ_DISPOSABLE_PERSONAL_INC_SAAR_USD_YOY_FC">"c11804"</definedName>
    <definedName name="IQ_DISPOSABLE_PERSONAL_INC_SAAR_YOY">"c7291"</definedName>
    <definedName name="IQ_DISPOSABLE_PERSONAL_INC_SAAR_YOY_FC">"c8171"</definedName>
    <definedName name="IQ_DISPOSABLE_PERSONAL_INC_USD_APR_FC">"c11801"</definedName>
    <definedName name="IQ_DISPOSABLE_PERSONAL_INC_USD_FC">"c11798"</definedName>
    <definedName name="IQ_DISPOSABLE_PERSONAL_INC_USD_POP_FC">"c11799"</definedName>
    <definedName name="IQ_DISPOSABLE_PERSONAL_INC_USD_YOY_FC">"c11800"</definedName>
    <definedName name="IQ_DISPOSABLE_PERSONAL_INC_YOY">"c7290"</definedName>
    <definedName name="IQ_DISPOSABLE_PERSONAL_INC_YOY_FC">"c8170"</definedName>
    <definedName name="IQ_DISTR_EXCESS_EARN">"c329"</definedName>
    <definedName name="IQ_DISTRIBUTABLE_CASH">"c3002"</definedName>
    <definedName name="IQ_DISTRIBUTABLE_CASH_ACT_OR_EST">"c4278"</definedName>
    <definedName name="IQ_DISTRIBUTABLE_CASH_ACT_OR_EST_CIQ">"c4803"</definedName>
    <definedName name="IQ_DISTRIBUTABLE_CASH_EST">"c4277"</definedName>
    <definedName name="IQ_DISTRIBUTABLE_CASH_EST_CIQ">"c4802"</definedName>
    <definedName name="IQ_DISTRIBUTABLE_CASH_GUIDANCE">"c4279"</definedName>
    <definedName name="IQ_DISTRIBUTABLE_CASH_HIGH_EST">"c4280"</definedName>
    <definedName name="IQ_DISTRIBUTABLE_CASH_HIGH_EST_CIQ">"c4805"</definedName>
    <definedName name="IQ_DISTRIBUTABLE_CASH_HIGH_GUIDANCE">"c4198"</definedName>
    <definedName name="IQ_DISTRIBUTABLE_CASH_LOW_EST">"c4281"</definedName>
    <definedName name="IQ_DISTRIBUTABLE_CASH_LOW_EST_CIQ">"c4806"</definedName>
    <definedName name="IQ_DISTRIBUTABLE_CASH_LOW_GUIDANCE">"c4238"</definedName>
    <definedName name="IQ_DISTRIBUTABLE_CASH_MEDIAN_EST">"c4282"</definedName>
    <definedName name="IQ_DISTRIBUTABLE_CASH_MEDIAN_EST_CIQ">"c4807"</definedName>
    <definedName name="IQ_DISTRIBUTABLE_CASH_NUM_EST">"c4283"</definedName>
    <definedName name="IQ_DISTRIBUTABLE_CASH_NUM_EST_CIQ">"c4808"</definedName>
    <definedName name="IQ_DISTRIBUTABLE_CASH_PAYOUT">"c3005"</definedName>
    <definedName name="IQ_DISTRIBUTABLE_CASH_SHARE">"c3003"</definedName>
    <definedName name="IQ_DISTRIBUTABLE_CASH_SHARE_ACT_OR_EST">"c4286"</definedName>
    <definedName name="IQ_DISTRIBUTABLE_CASH_SHARE_ACT_OR_EST_CIQ">"c4811"</definedName>
    <definedName name="IQ_DISTRIBUTABLE_CASH_SHARE_EST">"c4285"</definedName>
    <definedName name="IQ_DISTRIBUTABLE_CASH_SHARE_EST_CIQ">"c4810"</definedName>
    <definedName name="IQ_DISTRIBUTABLE_CASH_SHARE_GUIDANCE">"c4287"</definedName>
    <definedName name="IQ_DISTRIBUTABLE_CASH_SHARE_HIGH_EST">"c4288"</definedName>
    <definedName name="IQ_DISTRIBUTABLE_CASH_SHARE_HIGH_EST_CIQ">"c4813"</definedName>
    <definedName name="IQ_DISTRIBUTABLE_CASH_SHARE_HIGH_GUIDANCE">"c4199"</definedName>
    <definedName name="IQ_DISTRIBUTABLE_CASH_SHARE_LOW_EST">"c4289"</definedName>
    <definedName name="IQ_DISTRIBUTABLE_CASH_SHARE_LOW_EST_CIQ">"c4814"</definedName>
    <definedName name="IQ_DISTRIBUTABLE_CASH_SHARE_LOW_GUIDANCE">"c4239"</definedName>
    <definedName name="IQ_DISTRIBUTABLE_CASH_SHARE_MEDIAN_EST">"c4290"</definedName>
    <definedName name="IQ_DISTRIBUTABLE_CASH_SHARE_MEDIAN_EST_CIQ">"c4815"</definedName>
    <definedName name="IQ_DISTRIBUTABLE_CASH_SHARE_NUM_EST">"c4291"</definedName>
    <definedName name="IQ_DISTRIBUTABLE_CASH_SHARE_NUM_EST_CIQ">"c4816"</definedName>
    <definedName name="IQ_DISTRIBUTABLE_CASH_SHARE_STDDEV_EST">"c4292"</definedName>
    <definedName name="IQ_DISTRIBUTABLE_CASH_SHARE_STDDEV_EST_CIQ">"c4817"</definedName>
    <definedName name="IQ_DISTRIBUTABLE_CASH_STDDEV_EST">"c4294"</definedName>
    <definedName name="IQ_DISTRIBUTABLE_CASH_STDDEV_EST_CIQ">"c4819"</definedName>
    <definedName name="IQ_DIV_AMOUNT">"c3041"</definedName>
    <definedName name="IQ_DIV_PAYMENT_DATE">"c2205"</definedName>
    <definedName name="IQ_DIV_PAYMENT_TYPE">"c12752"</definedName>
    <definedName name="IQ_DIV_RECORD_DATE">"c2204"</definedName>
    <definedName name="IQ_DIV_SHARE">"c330"</definedName>
    <definedName name="IQ_DIVEST_CF">"c331"</definedName>
    <definedName name="IQ_DIVID_SHARE">"c1366"</definedName>
    <definedName name="IQ_DIVIDEND_EST">"c4296"</definedName>
    <definedName name="IQ_DIVIDEND_EST_CIQ">"c4821"</definedName>
    <definedName name="IQ_DIVIDEND_HIGH_EST">"c4297"</definedName>
    <definedName name="IQ_DIVIDEND_HIGH_EST_CIQ">"c4822"</definedName>
    <definedName name="IQ_DIVIDEND_LOW_EST">"c4298"</definedName>
    <definedName name="IQ_DIVIDEND_LOW_EST_CIQ">"c4823"</definedName>
    <definedName name="IQ_DIVIDEND_MEDIAN_EST">"c4299"</definedName>
    <definedName name="IQ_DIVIDEND_MEDIAN_EST_CIQ">"c4824"</definedName>
    <definedName name="IQ_DIVIDEND_NUM_EST">"c4300"</definedName>
    <definedName name="IQ_DIVIDEND_NUM_EST_CIQ">"c4825"</definedName>
    <definedName name="IQ_DIVIDEND_STDDEV_EST">"c4301"</definedName>
    <definedName name="IQ_DIVIDEND_STDDEV_EST_CIQ">"c4826"</definedName>
    <definedName name="IQ_DIVIDEND_YIELD">"c332"</definedName>
    <definedName name="IQ_DIVIDENDS_DECLARED_COMMON_FDIC">"c6659"</definedName>
    <definedName name="IQ_DIVIDENDS_DECLARED_COMMON_FFIEC">"c12969"</definedName>
    <definedName name="IQ_DIVIDENDS_DECLARED_PREFERRED_FDIC">"c6658"</definedName>
    <definedName name="IQ_DIVIDENDS_DECLARED_PREFERRED_FFIEC">"c12968"</definedName>
    <definedName name="IQ_DIVIDENDS_FDIC">"c6660"</definedName>
    <definedName name="IQ_DIVIDENDS_NET_INCOME_FFIEC">"c13349"</definedName>
    <definedName name="IQ_DIVIDENDS_PAID_DECLARED_PERIOD_COVERED">"c9960"</definedName>
    <definedName name="IQ_DIVIDENDS_PAID_DECLARED_PERIOD_GROUP">"c9946"</definedName>
    <definedName name="IQ_DNB_OTHER_EXP_INC_TAX_US">"c6787"</definedName>
    <definedName name="IQ_DNTM">700000</definedName>
    <definedName name="IQ_DO">"c333"</definedName>
    <definedName name="IQ_DO_ASSETS_CURRENT">"c334"</definedName>
    <definedName name="IQ_DO_ASSETS_LT">"c335"</definedName>
    <definedName name="IQ_DO_CF">"c336"</definedName>
    <definedName name="IQ_DOC_CLAUSE">"c6032"</definedName>
    <definedName name="IQ_DOM_OFFICE_DEPOSITS_TOT_DEPOSITS_FFIEC">"c13910"</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CAGR">"c6065"</definedName>
    <definedName name="IQ_DPS_10YR_ANN_GROWTH">"c337"</definedName>
    <definedName name="IQ_DPS_1YR_ANN_GROWTH">"c338"</definedName>
    <definedName name="IQ_DPS_2YR_ANN_CAGR">"c6066"</definedName>
    <definedName name="IQ_DPS_2YR_ANN_GROWTH">"c339"</definedName>
    <definedName name="IQ_DPS_3YR_ANN_CAGR">"c6067"</definedName>
    <definedName name="IQ_DPS_3YR_ANN_GROWTH">"c340"</definedName>
    <definedName name="IQ_DPS_5YR_ANN_CAGR">"c6068"</definedName>
    <definedName name="IQ_DPS_5YR_ANN_GROWTH">"c341"</definedName>
    <definedName name="IQ_DPS_7YR_ANN_CAGR">"c6069"</definedName>
    <definedName name="IQ_DPS_7YR_ANN_GROWTH">"c342"</definedName>
    <definedName name="IQ_DPS_ACT_OR_EST">"c2218"</definedName>
    <definedName name="IQ_DPS_ACT_OR_EST_CIQ">"c5062"</definedName>
    <definedName name="IQ_DPS_DET_EST">"c12052"</definedName>
    <definedName name="IQ_DPS_DET_EST_CIQ">"c12112"</definedName>
    <definedName name="IQ_DPS_DET_EST_CURRENCY">"c12459"</definedName>
    <definedName name="IQ_DPS_DET_EST_CURRENCY_CIQ">"c12503"</definedName>
    <definedName name="IQ_DPS_DET_EST_DATE">"c12205"</definedName>
    <definedName name="IQ_DPS_DET_EST_DATE_CIQ">"c12258"</definedName>
    <definedName name="IQ_DPS_DET_EST_INCL">"c12342"</definedName>
    <definedName name="IQ_DPS_DET_EST_INCL_CIQ">"c12386"</definedName>
    <definedName name="IQ_DPS_DET_EST_ORIGIN">"c12578"</definedName>
    <definedName name="IQ_DPS_DET_EST_ORIGIN_CIQ">"c12627"</definedName>
    <definedName name="IQ_DPS_EST">"c1674"</definedName>
    <definedName name="IQ_DPS_EST_BOTTOM_UP">"c5493"</definedName>
    <definedName name="IQ_DPS_EST_BOTTOM_UP_CIQ">"c12030"</definedName>
    <definedName name="IQ_DPS_EST_CIQ">"c3682"</definedName>
    <definedName name="IQ_DPS_GUIDANCE">"c4302"</definedName>
    <definedName name="IQ_DPS_HIGH_EST">"c1676"</definedName>
    <definedName name="IQ_DPS_HIGH_EST_CIQ">"c3684"</definedName>
    <definedName name="IQ_DPS_HIGH_GUIDANCE">"c4168"</definedName>
    <definedName name="IQ_DPS_LOW_EST">"c1677"</definedName>
    <definedName name="IQ_DPS_LOW_EST_CIQ">"c3685"</definedName>
    <definedName name="IQ_DPS_LOW_GUIDANCE">"c4208"</definedName>
    <definedName name="IQ_DPS_MEDIAN_EST">"c1675"</definedName>
    <definedName name="IQ_DPS_MEDIAN_EST_CIQ">"c3683"</definedName>
    <definedName name="IQ_DPS_NUM_EST">"c1678"</definedName>
    <definedName name="IQ_DPS_NUM_EST_CIQ">"c3686"</definedName>
    <definedName name="IQ_DPS_STDDEV_EST">"c1679"</definedName>
    <definedName name="IQ_DPS_STDDEV_EST_CIQ">"c3687"</definedName>
    <definedName name="IQ_DURABLE_INVENTORIES">"c6853"</definedName>
    <definedName name="IQ_DURABLE_INVENTORIES_APR">"c7513"</definedName>
    <definedName name="IQ_DURABLE_INVENTORIES_APR_FC">"c8393"</definedName>
    <definedName name="IQ_DURABLE_INVENTORIES_FC">"c7733"</definedName>
    <definedName name="IQ_DURABLE_INVENTORIES_POP">"c7073"</definedName>
    <definedName name="IQ_DURABLE_INVENTORIES_POP_FC">"c7953"</definedName>
    <definedName name="IQ_DURABLE_INVENTORIES_YOY">"c7293"</definedName>
    <definedName name="IQ_DURABLE_INVENTORIES_YOY_FC">"c8173"</definedName>
    <definedName name="IQ_DURABLE_ORDERS">"c6854"</definedName>
    <definedName name="IQ_DURABLE_ORDERS_APR">"c7514"</definedName>
    <definedName name="IQ_DURABLE_ORDERS_APR_FC">"c8394"</definedName>
    <definedName name="IQ_DURABLE_ORDERS_FC">"c7734"</definedName>
    <definedName name="IQ_DURABLE_ORDERS_POP">"c7074"</definedName>
    <definedName name="IQ_DURABLE_ORDERS_POP_FC">"c7954"</definedName>
    <definedName name="IQ_DURABLE_ORDERS_YOY">"c7294"</definedName>
    <definedName name="IQ_DURABLE_ORDERS_YOY_FC">"c8174"</definedName>
    <definedName name="IQ_DURABLE_SHIPMENTS">"c6855"</definedName>
    <definedName name="IQ_DURABLE_SHIPMENTS_APR">"c7515"</definedName>
    <definedName name="IQ_DURABLE_SHIPMENTS_APR_FC">"c8395"</definedName>
    <definedName name="IQ_DURABLE_SHIPMENTS_FC">"c7735"</definedName>
    <definedName name="IQ_DURABLE_SHIPMENTS_POP">"c7075"</definedName>
    <definedName name="IQ_DURABLE_SHIPMENTS_POP_FC">"c7955"</definedName>
    <definedName name="IQ_DURABLE_SHIPMENTS_YOY">"c7295"</definedName>
    <definedName name="IQ_DURABLE_SHIPMENTS_YOY_FC">"c8175"</definedName>
    <definedName name="IQ_DURATION">"c2181"</definedName>
    <definedName name="IQ_EARNING_ASSET_YIELD">"c343"</definedName>
    <definedName name="IQ_EARNING_ASSETS_AVG_ASSETS_FFIEC">"c13354"</definedName>
    <definedName name="IQ_EARNING_ASSETS_FDIC">"c6360"</definedName>
    <definedName name="IQ_EARNING_ASSETS_QUARTERLY_AVG_FFIEC">"c13086"</definedName>
    <definedName name="IQ_EARNING_ASSETS_REPRICE_ASSETS_TOT_FFIEC">"c13451"</definedName>
    <definedName name="IQ_EARNING_ASSETS_YIELD_FDIC">"c6724"</definedName>
    <definedName name="IQ_EARNING_CO">"c344"</definedName>
    <definedName name="IQ_EARNING_CO_10YR_ANN_CAGR">"c6070"</definedName>
    <definedName name="IQ_EARNING_CO_10YR_ANN_GROWTH">"c345"</definedName>
    <definedName name="IQ_EARNING_CO_1YR_ANN_GROWTH">"c346"</definedName>
    <definedName name="IQ_EARNING_CO_2YR_ANN_CAGR">"c6071"</definedName>
    <definedName name="IQ_EARNING_CO_2YR_ANN_GROWTH">"c347"</definedName>
    <definedName name="IQ_EARNING_CO_3YR_ANN_CAGR">"c6072"</definedName>
    <definedName name="IQ_EARNING_CO_3YR_ANN_GROWTH">"c348"</definedName>
    <definedName name="IQ_EARNING_CO_5YR_ANN_CAGR">"c6073"</definedName>
    <definedName name="IQ_EARNING_CO_5YR_ANN_GROWTH">"c349"</definedName>
    <definedName name="IQ_EARNING_CO_7YR_ANN_CAGR">"c6074"</definedName>
    <definedName name="IQ_EARNING_CO_7YR_ANN_GROWTH">"c350"</definedName>
    <definedName name="IQ_EARNING_CO_MARGIN">"c351"</definedName>
    <definedName name="IQ_EARNINGS_ANNOUNCE_DATE">"c1649"</definedName>
    <definedName name="IQ_EARNINGS_ANNOUNCE_DATE_CIQ">"c4656"</definedName>
    <definedName name="IQ_EARNINGS_CO_FFIEC">"c13032"</definedName>
    <definedName name="IQ_EARNINGS_COVERAGE_LOSSES_FFIEC">"c13351"</definedName>
    <definedName name="IQ_EARNINGS_COVERAGE_NET_CHARGE_OFFS_FDIC">"c6735"</definedName>
    <definedName name="IQ_EARNINGS_LIFE_INSURANCE_FFIEC">"c13041"</definedName>
    <definedName name="IQ_EARNINGS_PERIOD_COVERED">"c9958"</definedName>
    <definedName name="IQ_EARNINGS_PERIOD_GROUP">"c9944"</definedName>
    <definedName name="IQ_EBIT">"c352"</definedName>
    <definedName name="IQ_EBIT_10YR_ANN_CAGR">"c6075"</definedName>
    <definedName name="IQ_EBIT_10YR_ANN_GROWTH">"c353"</definedName>
    <definedName name="IQ_EBIT_1YR_ANN_GROWTH">"c354"</definedName>
    <definedName name="IQ_EBIT_2YR_ANN_CAGR">"c6076"</definedName>
    <definedName name="IQ_EBIT_2YR_ANN_GROWTH">"c355"</definedName>
    <definedName name="IQ_EBIT_3YR_ANN_CAGR">"c6077"</definedName>
    <definedName name="IQ_EBIT_3YR_ANN_GROWTH">"c356"</definedName>
    <definedName name="IQ_EBIT_5YR_ANN_CAGR">"c6078"</definedName>
    <definedName name="IQ_EBIT_5YR_ANN_GROWTH">"c357"</definedName>
    <definedName name="IQ_EBIT_7YR_ANN_CAGR">"c6079"</definedName>
    <definedName name="IQ_EBIT_7YR_ANN_GROWTH">"c358"</definedName>
    <definedName name="IQ_EBIT_ACT_OR_EST">"c2219"</definedName>
    <definedName name="IQ_EBIT_ACT_OR_EST_CIQ">"c5063"</definedName>
    <definedName name="IQ_EBIT_DET_EST">"c12053"</definedName>
    <definedName name="IQ_EBIT_DET_EST_CIQ">"c12113"</definedName>
    <definedName name="IQ_EBIT_DET_EST_CURRENCY">"c12460"</definedName>
    <definedName name="IQ_EBIT_DET_EST_CURRENCY_CIQ">"c12504"</definedName>
    <definedName name="IQ_EBIT_DET_EST_DATE">"c12206"</definedName>
    <definedName name="IQ_EBIT_DET_EST_DATE_CIQ">"c12259"</definedName>
    <definedName name="IQ_EBIT_DET_EST_INCL">"c12343"</definedName>
    <definedName name="IQ_EBIT_DET_EST_INCL_CIQ">"c12387"</definedName>
    <definedName name="IQ_EBIT_DET_EST_ORIGIN">"c12579"</definedName>
    <definedName name="IQ_EBIT_DET_EST_ORIGIN_CIQ">"c12628"</definedName>
    <definedName name="IQ_EBIT_EQ_INC">"c3498"</definedName>
    <definedName name="IQ_EBIT_EQ_INC_EXCL_SBC">"c3502"</definedName>
    <definedName name="IQ_EBIT_EST">"c1681"</definedName>
    <definedName name="IQ_EBIT_EST_CIQ">"c4674"</definedName>
    <definedName name="IQ_EBIT_EXCL_SBC">"c3082"</definedName>
    <definedName name="IQ_EBIT_GUIDANCE">"c4303"</definedName>
    <definedName name="IQ_EBIT_GW_ACT_OR_EST">"c4306"</definedName>
    <definedName name="IQ_EBIT_GW_ACT_OR_EST_CIQ">"c4831"</definedName>
    <definedName name="IQ_EBIT_GW_EST">"c4305"</definedName>
    <definedName name="IQ_EBIT_GW_EST_CIQ">"c4830"</definedName>
    <definedName name="IQ_EBIT_GW_HIGH_EST">"c4308"</definedName>
    <definedName name="IQ_EBIT_GW_HIGH_EST_CIQ">"c4833"</definedName>
    <definedName name="IQ_EBIT_GW_LOW_EST">"c4309"</definedName>
    <definedName name="IQ_EBIT_GW_LOW_EST_CIQ">"c4834"</definedName>
    <definedName name="IQ_EBIT_GW_MEDIAN_EST">"c4310"</definedName>
    <definedName name="IQ_EBIT_GW_MEDIAN_EST_CIQ">"c4835"</definedName>
    <definedName name="IQ_EBIT_GW_NUM_EST">"c4311"</definedName>
    <definedName name="IQ_EBIT_GW_NUM_EST_CIQ">"c4836"</definedName>
    <definedName name="IQ_EBIT_GW_STDDEV_EST">"c4312"</definedName>
    <definedName name="IQ_EBIT_GW_STDDEV_EST_CIQ">"c4837"</definedName>
    <definedName name="IQ_EBIT_HIGH_EST">"c1683"</definedName>
    <definedName name="IQ_EBIT_HIGH_EST_CIQ">"c4676"</definedName>
    <definedName name="IQ_EBIT_HIGH_GUIDANCE">"c4172"</definedName>
    <definedName name="IQ_EBIT_INT">"c360"</definedName>
    <definedName name="IQ_EBIT_LOW_EST">"c1684"</definedName>
    <definedName name="IQ_EBIT_LOW_EST_CIQ">"c4677"</definedName>
    <definedName name="IQ_EBIT_LOW_GUIDANCE">"c4212"</definedName>
    <definedName name="IQ_EBIT_MARGIN">"c359"</definedName>
    <definedName name="IQ_EBIT_MEDIAN_EST">"c1682"</definedName>
    <definedName name="IQ_EBIT_MEDIAN_EST_CIQ">"c4675"</definedName>
    <definedName name="IQ_EBIT_NUM_EST">"c1685"</definedName>
    <definedName name="IQ_EBIT_NUM_EST_CIQ">"c4678"</definedName>
    <definedName name="IQ_EBIT_OVER_IE">"c1369"</definedName>
    <definedName name="IQ_EBIT_SBC_ACT_OR_EST">"c4316"</definedName>
    <definedName name="IQ_EBIT_SBC_ACT_OR_EST_CIQ">"c4841"</definedName>
    <definedName name="IQ_EBIT_SBC_EST">"c4315"</definedName>
    <definedName name="IQ_EBIT_SBC_EST_CIQ">"c4840"</definedName>
    <definedName name="IQ_EBIT_SBC_GW_ACT_OR_EST">"c4320"</definedName>
    <definedName name="IQ_EBIT_SBC_GW_ACT_OR_EST_CIQ">"c4845"</definedName>
    <definedName name="IQ_EBIT_SBC_GW_EST">"c4319"</definedName>
    <definedName name="IQ_EBIT_SBC_GW_EST_CIQ">"c4844"</definedName>
    <definedName name="IQ_EBIT_SBC_GW_HIGH_EST">"c4322"</definedName>
    <definedName name="IQ_EBIT_SBC_GW_HIGH_EST_CIQ">"c4847"</definedName>
    <definedName name="IQ_EBIT_SBC_GW_LOW_EST">"c4323"</definedName>
    <definedName name="IQ_EBIT_SBC_GW_LOW_EST_CIQ">"c4848"</definedName>
    <definedName name="IQ_EBIT_SBC_GW_MEDIAN_EST">"c4324"</definedName>
    <definedName name="IQ_EBIT_SBC_GW_MEDIAN_EST_CIQ">"c4849"</definedName>
    <definedName name="IQ_EBIT_SBC_GW_NUM_EST">"c4325"</definedName>
    <definedName name="IQ_EBIT_SBC_GW_NUM_EST_CIQ">"c4850"</definedName>
    <definedName name="IQ_EBIT_SBC_GW_STDDEV_EST">"c4326"</definedName>
    <definedName name="IQ_EBIT_SBC_GW_STDDEV_EST_CIQ">"c4851"</definedName>
    <definedName name="IQ_EBIT_SBC_HIGH_EST">"c4328"</definedName>
    <definedName name="IQ_EBIT_SBC_HIGH_EST_CIQ">"c4853"</definedName>
    <definedName name="IQ_EBIT_SBC_LOW_EST">"c4329"</definedName>
    <definedName name="IQ_EBIT_SBC_LOW_EST_CIQ">"c4854"</definedName>
    <definedName name="IQ_EBIT_SBC_MEDIAN_EST">"c4330"</definedName>
    <definedName name="IQ_EBIT_SBC_MEDIAN_EST_CIQ">"c4855"</definedName>
    <definedName name="IQ_EBIT_SBC_NUM_EST">"c4331"</definedName>
    <definedName name="IQ_EBIT_SBC_NUM_EST_CIQ">"c4856"</definedName>
    <definedName name="IQ_EBIT_SBC_STDDEV_EST">"c4332"</definedName>
    <definedName name="IQ_EBIT_SBC_STDDEV_EST_CIQ">"c4857"</definedName>
    <definedName name="IQ_EBIT_STDDEV_EST">"c1686"</definedName>
    <definedName name="IQ_EBIT_STDDEV_EST_CIQ">"c4679"</definedName>
    <definedName name="IQ_EBITA">"c1910"</definedName>
    <definedName name="IQ_EBITA_10YR_ANN_CAGR">"c6184"</definedName>
    <definedName name="IQ_EBITA_10YR_ANN_GROWTH">"c1954"</definedName>
    <definedName name="IQ_EBITA_1YR_ANN_GROWTH">"c1949"</definedName>
    <definedName name="IQ_EBITA_2YR_ANN_CAGR">"c6180"</definedName>
    <definedName name="IQ_EBITA_2YR_ANN_GROWTH">"c1950"</definedName>
    <definedName name="IQ_EBITA_3YR_ANN_CAGR">"c6181"</definedName>
    <definedName name="IQ_EBITA_3YR_ANN_GROWTH">"c1951"</definedName>
    <definedName name="IQ_EBITA_5YR_ANN_CAGR">"c6182"</definedName>
    <definedName name="IQ_EBITA_5YR_ANN_GROWTH">"c1952"</definedName>
    <definedName name="IQ_EBITA_7YR_ANN_CAGR">"c6183"</definedName>
    <definedName name="IQ_EBITA_7YR_ANN_GROWTH">"c1953"</definedName>
    <definedName name="IQ_EBITA_EQ_INC">"c3497"</definedName>
    <definedName name="IQ_EBITA_EQ_INC_EXCL_SBC">"c3501"</definedName>
    <definedName name="IQ_EBITA_EXCL_SBC">"c3080"</definedName>
    <definedName name="IQ_EBITA_MARGIN">"c1963"</definedName>
    <definedName name="IQ_EBITDA">"c361"</definedName>
    <definedName name="IQ_EBITDA_10YR_ANN_CAGR">"c6080"</definedName>
    <definedName name="IQ_EBITDA_10YR_ANN_GROWTH">"c362"</definedName>
    <definedName name="IQ_EBITDA_1YR_ANN_GROWTH">"c363"</definedName>
    <definedName name="IQ_EBITDA_2YR_ANN_CAGR">"c6081"</definedName>
    <definedName name="IQ_EBITDA_2YR_ANN_GROWTH">"c364"</definedName>
    <definedName name="IQ_EBITDA_3YR_ANN_CAGR">"c6082"</definedName>
    <definedName name="IQ_EBITDA_3YR_ANN_GROWTH">"c365"</definedName>
    <definedName name="IQ_EBITDA_5YR_ANN_CAGR">"c6083"</definedName>
    <definedName name="IQ_EBITDA_5YR_ANN_GROWTH">"c366"</definedName>
    <definedName name="IQ_EBITDA_7YR_ANN_CAGR">"c6084"</definedName>
    <definedName name="IQ_EBITDA_7YR_ANN_GROWTH">"c367"</definedName>
    <definedName name="IQ_EBITDA_ACT_OR_EST">"c2215"</definedName>
    <definedName name="IQ_EBITDA_ACT_OR_EST_CIQ">"c5060"</definedName>
    <definedName name="IQ_EBITDA_CAPEX_INT">"c368"</definedName>
    <definedName name="IQ_EBITDA_CAPEX_OVER_TOTAL_IE">"c1370"</definedName>
    <definedName name="IQ_EBITDA_DET_EST">"c12054"</definedName>
    <definedName name="IQ_EBITDA_DET_EST_CIQ">"c12114"</definedName>
    <definedName name="IQ_EBITDA_DET_EST_CURRENCY">"c12461"</definedName>
    <definedName name="IQ_EBITDA_DET_EST_CURRENCY_CIQ">"c12505"</definedName>
    <definedName name="IQ_EBITDA_DET_EST_DATE">"c12207"</definedName>
    <definedName name="IQ_EBITDA_DET_EST_DATE_CIQ">"c12260"</definedName>
    <definedName name="IQ_EBITDA_DET_EST_INCL">"c12344"</definedName>
    <definedName name="IQ_EBITDA_DET_EST_INCL_CIQ">"c12388"</definedName>
    <definedName name="IQ_EBITDA_DET_EST_ORIGIN">"c12580"</definedName>
    <definedName name="IQ_EBITDA_DET_EST_ORIGIN_CIQ">"c12629"</definedName>
    <definedName name="IQ_EBITDA_EQ_INC">"c3496"</definedName>
    <definedName name="IQ_EBITDA_EQ_INC_EXCL_SBC">"c3500"</definedName>
    <definedName name="IQ_EBITDA_EST">"c369"</definedName>
    <definedName name="IQ_EBITDA_EST_CIQ">"c3622"</definedName>
    <definedName name="IQ_EBITDA_EXCL_SBC">"c3081"</definedName>
    <definedName name="IQ_EBITDA_GUIDANCE">"c4334"</definedName>
    <definedName name="IQ_EBITDA_HIGH_EST">"c370"</definedName>
    <definedName name="IQ_EBITDA_HIGH_EST_CIQ">"c3624"</definedName>
    <definedName name="IQ_EBITDA_HIGH_GUIDANCE">"c4170"</definedName>
    <definedName name="IQ_EBITDA_INT">"c373"</definedName>
    <definedName name="IQ_EBITDA_LOW_EST">"c371"</definedName>
    <definedName name="IQ_EBITDA_LOW_EST_CIQ">"c3625"</definedName>
    <definedName name="IQ_EBITDA_LOW_GUIDANCE">"c4210"</definedName>
    <definedName name="IQ_EBITDA_MARGIN">"c372"</definedName>
    <definedName name="IQ_EBITDA_MEDIAN_EST">"c1663"</definedName>
    <definedName name="IQ_EBITDA_MEDIAN_EST_CIQ">"c3623"</definedName>
    <definedName name="IQ_EBITDA_NUM_EST">"c374"</definedName>
    <definedName name="IQ_EBITDA_NUM_EST_CIQ">"c3626"</definedName>
    <definedName name="IQ_EBITDA_OVER_TOTAL_IE">"c1371"</definedName>
    <definedName name="IQ_EBITDA_SBC_ACT_OR_EST">"c4337"</definedName>
    <definedName name="IQ_EBITDA_SBC_ACT_OR_EST_CIQ">"c4862"</definedName>
    <definedName name="IQ_EBITDA_SBC_EST">"c4336"</definedName>
    <definedName name="IQ_EBITDA_SBC_EST_CIQ">"c4861"</definedName>
    <definedName name="IQ_EBITDA_SBC_HIGH_EST">"c4339"</definedName>
    <definedName name="IQ_EBITDA_SBC_HIGH_EST_CIQ">"c4864"</definedName>
    <definedName name="IQ_EBITDA_SBC_LOW_EST">"c4340"</definedName>
    <definedName name="IQ_EBITDA_SBC_LOW_EST_CIQ">"c4865"</definedName>
    <definedName name="IQ_EBITDA_SBC_MEDIAN_EST">"c4341"</definedName>
    <definedName name="IQ_EBITDA_SBC_MEDIAN_EST_CIQ">"c4866"</definedName>
    <definedName name="IQ_EBITDA_SBC_NUM_EST">"c4342"</definedName>
    <definedName name="IQ_EBITDA_SBC_NUM_EST_CIQ">"c4867"</definedName>
    <definedName name="IQ_EBITDA_SBC_STDDEV_EST">"c4343"</definedName>
    <definedName name="IQ_EBITDA_SBC_STDDEV_EST_CIQ">"c4868"</definedName>
    <definedName name="IQ_EBITDA_STDDEV_EST">"c375"</definedName>
    <definedName name="IQ_EBITDA_STDDEV_EST_CIQ">"c3627"</definedName>
    <definedName name="IQ_EBITDAR">"c2989"</definedName>
    <definedName name="IQ_EBITDAR_EQ_INC">"c3499"</definedName>
    <definedName name="IQ_EBITDAR_EQ_INC_EXCL_SBC">"c3503"</definedName>
    <definedName name="IQ_EBITDAR_EXCL_SBC">"c3083"</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"c6214"</definedName>
    <definedName name="IQ_EBT_EXCL_REIT">"c384"</definedName>
    <definedName name="IQ_EBT_EXCL_UTI">"c385"</definedName>
    <definedName name="IQ_EBT_FFIEC">"c13029"</definedName>
    <definedName name="IQ_EBT_FIN">"c386"</definedName>
    <definedName name="IQ_EBT_FTE_FFIEC">"c13037"</definedName>
    <definedName name="IQ_EBT_GAAP_GUIDANCE">"c4345"</definedName>
    <definedName name="IQ_EBT_GAAP_HIGH_GUIDANCE">"c4174"</definedName>
    <definedName name="IQ_EBT_GAAP_LOW_GUIDANCE">"c4214"</definedName>
    <definedName name="IQ_EBT_GUIDANCE">"c4346"</definedName>
    <definedName name="IQ_EBT_GW_GUIDANCE">"c4347"</definedName>
    <definedName name="IQ_EBT_GW_HIGH_GUIDANCE">"c4175"</definedName>
    <definedName name="IQ_EBT_GW_LOW_GUIDANCE">"c4215"</definedName>
    <definedName name="IQ_EBT_HIGH_GUIDANCE">"c4173"</definedName>
    <definedName name="IQ_EBT_INCL_MARGIN">"c387"</definedName>
    <definedName name="IQ_EBT_INS">"c388"</definedName>
    <definedName name="IQ_EBT_LOW_GUIDANCE">"c4213"</definedName>
    <definedName name="IQ_EBT_RE">"c6215"</definedName>
    <definedName name="IQ_EBT_REIT">"c389"</definedName>
    <definedName name="IQ_EBT_SBC_ACT_OR_EST">"c4350"</definedName>
    <definedName name="IQ_EBT_SBC_ACT_OR_EST_CIQ">"c4875"</definedName>
    <definedName name="IQ_EBT_SBC_EST">"c4349"</definedName>
    <definedName name="IQ_EBT_SBC_EST_CIQ">"c4874"</definedName>
    <definedName name="IQ_EBT_SBC_GW_ACT_OR_EST">"c4354"</definedName>
    <definedName name="IQ_EBT_SBC_GW_ACT_OR_EST_CIQ">"c4879"</definedName>
    <definedName name="IQ_EBT_SBC_GW_EST">"c4353"</definedName>
    <definedName name="IQ_EBT_SBC_GW_EST_CIQ">"c4878"</definedName>
    <definedName name="IQ_EBT_SBC_GW_HIGH_EST">"c4356"</definedName>
    <definedName name="IQ_EBT_SBC_GW_HIGH_EST_CIQ">"c4881"</definedName>
    <definedName name="IQ_EBT_SBC_GW_LOW_EST">"c4357"</definedName>
    <definedName name="IQ_EBT_SBC_GW_LOW_EST_CIQ">"c4882"</definedName>
    <definedName name="IQ_EBT_SBC_GW_MEDIAN_EST">"c4358"</definedName>
    <definedName name="IQ_EBT_SBC_GW_MEDIAN_EST_CIQ">"c4883"</definedName>
    <definedName name="IQ_EBT_SBC_GW_NUM_EST">"c4359"</definedName>
    <definedName name="IQ_EBT_SBC_GW_NUM_EST_CIQ">"c4884"</definedName>
    <definedName name="IQ_EBT_SBC_GW_STDDEV_EST">"c4360"</definedName>
    <definedName name="IQ_EBT_SBC_GW_STDDEV_EST_CIQ">"c4885"</definedName>
    <definedName name="IQ_EBT_SBC_HIGH_EST">"c4362"</definedName>
    <definedName name="IQ_EBT_SBC_HIGH_EST_CIQ">"c4887"</definedName>
    <definedName name="IQ_EBT_SBC_LOW_EST">"c4363"</definedName>
    <definedName name="IQ_EBT_SBC_LOW_EST_CIQ">"c4888"</definedName>
    <definedName name="IQ_EBT_SBC_MEDIAN_EST">"c4364"</definedName>
    <definedName name="IQ_EBT_SBC_MEDIAN_EST_CIQ">"c4889"</definedName>
    <definedName name="IQ_EBT_SBC_NUM_EST">"c4365"</definedName>
    <definedName name="IQ_EBT_SBC_NUM_EST_CIQ">"c4890"</definedName>
    <definedName name="IQ_EBT_SBC_STDDEV_EST">"c4366"</definedName>
    <definedName name="IQ_EBT_SBC_STDDEV_EST_CIQ">"c4891"</definedName>
    <definedName name="IQ_EBT_SUBTOTAL_AP">"c8982"</definedName>
    <definedName name="IQ_EBT_UTI">"c390"</definedName>
    <definedName name="IQ_ECO_METRIC_6825_UNUSED">"c6825"</definedName>
    <definedName name="IQ_ECO_METRIC_6825_UNUSED_UNUSED_UNUSED">"c6825"</definedName>
    <definedName name="IQ_ECO_METRIC_6839_UNUSED">"c6839"</definedName>
    <definedName name="IQ_ECO_METRIC_6839_UNUSED_UNUSED_UNUSED">"c6839"</definedName>
    <definedName name="IQ_ECO_METRIC_6896_UNUSED">"c6896"</definedName>
    <definedName name="IQ_ECO_METRIC_6896_UNUSED_UNUSED_UNUSED">"c6896"</definedName>
    <definedName name="IQ_ECO_METRIC_6897_UNUSED">"c6897"</definedName>
    <definedName name="IQ_ECO_METRIC_6897_UNUSED_UNUSED_UNUSED">"c6897"</definedName>
    <definedName name="IQ_ECO_METRIC_6927">"c6927"</definedName>
    <definedName name="IQ_ECO_METRIC_6988_UNUSED">"c6988"</definedName>
    <definedName name="IQ_ECO_METRIC_6988_UNUSED_UNUSED_UNUSED">"c6988"</definedName>
    <definedName name="IQ_ECO_METRIC_7045_UNUSED">"c7045"</definedName>
    <definedName name="IQ_ECO_METRIC_7045_UNUSED_UNUSED_UNUSED">"c7045"</definedName>
    <definedName name="IQ_ECO_METRIC_7059_UNUSED">"c7059"</definedName>
    <definedName name="IQ_ECO_METRIC_7059_UNUSED_UNUSED_UNUSED">"c7059"</definedName>
    <definedName name="IQ_ECO_METRIC_7116_UNUSED">"c7116"</definedName>
    <definedName name="IQ_ECO_METRIC_7116_UNUSED_UNUSED_UNUSED">"c7116"</definedName>
    <definedName name="IQ_ECO_METRIC_7117_UNUSED">"c7117"</definedName>
    <definedName name="IQ_ECO_METRIC_7117_UNUSED_UNUSED_UNUSED">"c7117"</definedName>
    <definedName name="IQ_ECO_METRIC_7147">"c7147"</definedName>
    <definedName name="IQ_ECO_METRIC_7208_UNUSED">"c7208"</definedName>
    <definedName name="IQ_ECO_METRIC_7208_UNUSED_UNUSED_UNUSED">"c7208"</definedName>
    <definedName name="IQ_ECO_METRIC_7265_UNUSED">"c7265"</definedName>
    <definedName name="IQ_ECO_METRIC_7265_UNUSED_UNUSED_UNUSED">"c7265"</definedName>
    <definedName name="IQ_ECO_METRIC_7279_UNUSED">"c7279"</definedName>
    <definedName name="IQ_ECO_METRIC_7279_UNUSED_UNUSED_UNUSED">"c7279"</definedName>
    <definedName name="IQ_ECO_METRIC_7336_UNUSED">"c7336"</definedName>
    <definedName name="IQ_ECO_METRIC_7336_UNUSED_UNUSED_UNUSED">"c7336"</definedName>
    <definedName name="IQ_ECO_METRIC_7337_UNUSED">"c7337"</definedName>
    <definedName name="IQ_ECO_METRIC_7337_UNUSED_UNUSED_UNUSED">"c7337"</definedName>
    <definedName name="IQ_ECO_METRIC_7367">"c7367"</definedName>
    <definedName name="IQ_ECO_METRIC_7428_UNUSED">"c7428"</definedName>
    <definedName name="IQ_ECO_METRIC_7428_UNUSED_UNUSED_UNUSED">"c7428"</definedName>
    <definedName name="IQ_ECO_METRIC_7556_UNUSED">"c7556"</definedName>
    <definedName name="IQ_ECO_METRIC_7556_UNUSED_UNUSED_UNUSED">"c7556"</definedName>
    <definedName name="IQ_ECO_METRIC_7557_UNUSED">"c7557"</definedName>
    <definedName name="IQ_ECO_METRIC_7557_UNUSED_UNUSED_UNUSED">"c7557"</definedName>
    <definedName name="IQ_ECO_METRIC_7587">"c7587"</definedName>
    <definedName name="IQ_ECO_METRIC_7648_UNUSED">"c7648"</definedName>
    <definedName name="IQ_ECO_METRIC_7648_UNUSED_UNUSED_UNUSED">"c7648"</definedName>
    <definedName name="IQ_ECO_METRIC_7704">"c7704"</definedName>
    <definedName name="IQ_ECO_METRIC_7705_UNUSED">"c7705"</definedName>
    <definedName name="IQ_ECO_METRIC_7705_UNUSED_UNUSED_UNUSED">"c7705"</definedName>
    <definedName name="IQ_ECO_METRIC_7706">"c7706"</definedName>
    <definedName name="IQ_ECO_METRIC_7718">"c7718"</definedName>
    <definedName name="IQ_ECO_METRIC_7719_UNUSED">"c7719"</definedName>
    <definedName name="IQ_ECO_METRIC_7719_UNUSED_UNUSED_UNUSED">"c7719"</definedName>
    <definedName name="IQ_ECO_METRIC_7776_UNUSED">"c7776"</definedName>
    <definedName name="IQ_ECO_METRIC_7776_UNUSED_UNUSED_UNUSED">"c7776"</definedName>
    <definedName name="IQ_ECO_METRIC_7777_UNUSED">"c7777"</definedName>
    <definedName name="IQ_ECO_METRIC_7777_UNUSED_UNUSED_UNUSED">"c7777"</definedName>
    <definedName name="IQ_ECO_METRIC_7807">"c7807"</definedName>
    <definedName name="IQ_ECO_METRIC_7811">"c7811"</definedName>
    <definedName name="IQ_ECO_METRIC_7868_UNUSED">"c7868"</definedName>
    <definedName name="IQ_ECO_METRIC_7868_UNUSED_UNUSED_UNUSED">"c7868"</definedName>
    <definedName name="IQ_ECO_METRIC_7873">"c7873"</definedName>
    <definedName name="IQ_ECO_METRIC_7924">"c7924"</definedName>
    <definedName name="IQ_ECO_METRIC_7925_UNUSED">"c7925"</definedName>
    <definedName name="IQ_ECO_METRIC_7925_UNUSED_UNUSED_UNUSED">"c7925"</definedName>
    <definedName name="IQ_ECO_METRIC_7926">"c7926"</definedName>
    <definedName name="IQ_ECO_METRIC_7938">"c7938"</definedName>
    <definedName name="IQ_ECO_METRIC_7939_UNUSED">"c7939"</definedName>
    <definedName name="IQ_ECO_METRIC_7939_UNUSED_UNUSED_UNUSED">"c7939"</definedName>
    <definedName name="IQ_ECO_METRIC_7996_UNUSED">"c7996"</definedName>
    <definedName name="IQ_ECO_METRIC_7996_UNUSED_UNUSED_UNUSED">"c7996"</definedName>
    <definedName name="IQ_ECO_METRIC_7997_UNUSED">"c7997"</definedName>
    <definedName name="IQ_ECO_METRIC_7997_UNUSED_UNUSED_UNUSED">"c7997"</definedName>
    <definedName name="IQ_ECO_METRIC_8027">"c8027"</definedName>
    <definedName name="IQ_ECO_METRIC_8031">"c8031"</definedName>
    <definedName name="IQ_ECO_METRIC_8088_UNUSED">"c8088"</definedName>
    <definedName name="IQ_ECO_METRIC_8088_UNUSED_UNUSED_UNUSED">"c8088"</definedName>
    <definedName name="IQ_ECO_METRIC_8093">"c8093"</definedName>
    <definedName name="IQ_ECO_METRIC_8144">"c8144"</definedName>
    <definedName name="IQ_ECO_METRIC_8145_UNUSED">"c8145"</definedName>
    <definedName name="IQ_ECO_METRIC_8145_UNUSED_UNUSED_UNUSED">"c8145"</definedName>
    <definedName name="IQ_ECO_METRIC_8146">"c8146"</definedName>
    <definedName name="IQ_ECO_METRIC_8158">"c8158"</definedName>
    <definedName name="IQ_ECO_METRIC_8159_UNUSED">"c8159"</definedName>
    <definedName name="IQ_ECO_METRIC_8159_UNUSED_UNUSED_UNUSED">"c8159"</definedName>
    <definedName name="IQ_ECO_METRIC_8216_UNUSED">"c8216"</definedName>
    <definedName name="IQ_ECO_METRIC_8216_UNUSED_UNUSED_UNUSED">"c8216"</definedName>
    <definedName name="IQ_ECO_METRIC_8217_UNUSED">"c8217"</definedName>
    <definedName name="IQ_ECO_METRIC_8217_UNUSED_UNUSED_UNUSED">"c8217"</definedName>
    <definedName name="IQ_ECO_METRIC_8247">"c8247"</definedName>
    <definedName name="IQ_ECO_METRIC_8251">"c8251"</definedName>
    <definedName name="IQ_ECO_METRIC_8308_UNUSED">"c8308"</definedName>
    <definedName name="IQ_ECO_METRIC_8308_UNUSED_UNUSED_UNUSED">"c8308"</definedName>
    <definedName name="IQ_ECO_METRIC_8313">"c8313"</definedName>
    <definedName name="IQ_ECO_METRIC_8366">"c8366"</definedName>
    <definedName name="IQ_ECO_METRIC_8378">"c8378"</definedName>
    <definedName name="IQ_ECO_METRIC_8436_UNUSED">"c8436"</definedName>
    <definedName name="IQ_ECO_METRIC_8436_UNUSED_UNUSED_UNUSED">"c8436"</definedName>
    <definedName name="IQ_ECO_METRIC_8437_UNUSED">"c8437"</definedName>
    <definedName name="IQ_ECO_METRIC_8437_UNUSED_UNUSED_UNUSED">"c8437"</definedName>
    <definedName name="IQ_ECO_METRIC_8467">"c8467"</definedName>
    <definedName name="IQ_ECO_METRIC_8471">"c8471"</definedName>
    <definedName name="IQ_ECO_METRIC_8528_UNUSED">"c8528"</definedName>
    <definedName name="IQ_ECO_METRIC_8528_UNUSED_UNUSED_UNUSED">"c8528"</definedName>
    <definedName name="IQ_ECO_METRIC_8533">"c8533"</definedName>
    <definedName name="IQ_ECS_AUTHORIZED_SHARES">"c5583"</definedName>
    <definedName name="IQ_ECS_AUTHORIZED_SHARES_ABS">"c5597"</definedName>
    <definedName name="IQ_ECS_CONVERT_FACTOR">"c5581"</definedName>
    <definedName name="IQ_ECS_CONVERT_FACTOR_ABS">"c5595"</definedName>
    <definedName name="IQ_ECS_CONVERT_INTO">"c5580"</definedName>
    <definedName name="IQ_ECS_CONVERT_INTO_ABS">"c5594"</definedName>
    <definedName name="IQ_ECS_CONVERT_TYPE">"c5579"</definedName>
    <definedName name="IQ_ECS_CONVERT_TYPE_ABS">"c5593"</definedName>
    <definedName name="IQ_ECS_INACTIVE_DATE">"c5576"</definedName>
    <definedName name="IQ_ECS_INACTIVE_DATE_ABS">"c5590"</definedName>
    <definedName name="IQ_ECS_NAME">"c5571"</definedName>
    <definedName name="IQ_ECS_NAME_ABS">"c5585"</definedName>
    <definedName name="IQ_ECS_NUM_SHAREHOLDERS">"c5584"</definedName>
    <definedName name="IQ_ECS_NUM_SHAREHOLDERS_ABS">"c5598"</definedName>
    <definedName name="IQ_ECS_PAR_VALUE">"c5577"</definedName>
    <definedName name="IQ_ECS_PAR_VALUE_ABS">"c5591"</definedName>
    <definedName name="IQ_ECS_PAR_VALUE_CURRENCY">"c5578"</definedName>
    <definedName name="IQ_ECS_PAR_VALUE_CURRENCY_ABS">"c5592"</definedName>
    <definedName name="IQ_ECS_SHARES_OUT_BS_DATE">"c5572"</definedName>
    <definedName name="IQ_ECS_SHARES_OUT_BS_DATE_ABS">"c5586"</definedName>
    <definedName name="IQ_ECS_SHARES_OUT_FILING_DATE">"c5573"</definedName>
    <definedName name="IQ_ECS_SHARES_OUT_FILING_DATE_ABS">"c5587"</definedName>
    <definedName name="IQ_ECS_START_DATE">"c5575"</definedName>
    <definedName name="IQ_ECS_START_DATE_ABS">"c5589"</definedName>
    <definedName name="IQ_ECS_TYPE">"c5574"</definedName>
    <definedName name="IQ_ECS_TYPE_ABS">"c5588"</definedName>
    <definedName name="IQ_ECS_VOTING">"c5582"</definedName>
    <definedName name="IQ_ECS_VOTING_ABS">"c5596"</definedName>
    <definedName name="IQ_EFFECT_SPECIAL_CHARGE">"c1595"</definedName>
    <definedName name="IQ_EFFECT_TAX_RATE">"c1899"</definedName>
    <definedName name="IQ_EFFECTIVE_DATE">"c8966"</definedName>
    <definedName name="IQ_EFFICIENCY_RATIO">"c391"</definedName>
    <definedName name="IQ_EFFICIENCY_RATIO_FDIC">"c6736"</definedName>
    <definedName name="IQ_ELIMINATIONS_CONSOL_OFFICES_FOREIGN_FFIEC">"c15395"</definedName>
    <definedName name="IQ_EMBEDDED_VAL_COVERED">"c9962"</definedName>
    <definedName name="IQ_EMBEDDED_VAL_COVERED_BEG">"c9957"</definedName>
    <definedName name="IQ_EMBEDDED_VAL_GROUP">"c9948"</definedName>
    <definedName name="IQ_EMBEDDED_VAL_GROUP_BEG">"c9943"</definedName>
    <definedName name="IQ_EMPLOY_COST_INDEX_BENEFITS">"c6857"</definedName>
    <definedName name="IQ_EMPLOY_COST_INDEX_BENEFITS_APR">"c7517"</definedName>
    <definedName name="IQ_EMPLOY_COST_INDEX_BENEFITS_APR_FC">"c8397"</definedName>
    <definedName name="IQ_EMPLOY_COST_INDEX_BENEFITS_FC">"c7737"</definedName>
    <definedName name="IQ_EMPLOY_COST_INDEX_BENEFITS_POP">"c7077"</definedName>
    <definedName name="IQ_EMPLOY_COST_INDEX_BENEFITS_POP_FC">"c7957"</definedName>
    <definedName name="IQ_EMPLOY_COST_INDEX_BENEFITS_YOY">"c7297"</definedName>
    <definedName name="IQ_EMPLOY_COST_INDEX_BENEFITS_YOY_FC">"c8177"</definedName>
    <definedName name="IQ_EMPLOY_COST_INDEX_COMP">"c6856"</definedName>
    <definedName name="IQ_EMPLOY_COST_INDEX_COMP_APR">"c7516"</definedName>
    <definedName name="IQ_EMPLOY_COST_INDEX_COMP_APR_FC">"c8396"</definedName>
    <definedName name="IQ_EMPLOY_COST_INDEX_COMP_FC">"c7736"</definedName>
    <definedName name="IQ_EMPLOY_COST_INDEX_COMP_POP">"c7076"</definedName>
    <definedName name="IQ_EMPLOY_COST_INDEX_COMP_POP_FC">"c7956"</definedName>
    <definedName name="IQ_EMPLOY_COST_INDEX_COMP_YOY">"c7296"</definedName>
    <definedName name="IQ_EMPLOY_COST_INDEX_COMP_YOY_FC">"c8176"</definedName>
    <definedName name="IQ_EMPLOY_COST_INDEX_WAGE_SALARY">"c6858"</definedName>
    <definedName name="IQ_EMPLOY_COST_INDEX_WAGE_SALARY_APR">"c7518"</definedName>
    <definedName name="IQ_EMPLOY_COST_INDEX_WAGE_SALARY_APR_FC">"c8398"</definedName>
    <definedName name="IQ_EMPLOY_COST_INDEX_WAGE_SALARY_FC">"c7738"</definedName>
    <definedName name="IQ_EMPLOY_COST_INDEX_WAGE_SALARY_POP">"c7078"</definedName>
    <definedName name="IQ_EMPLOY_COST_INDEX_WAGE_SALARY_POP_FC">"c7958"</definedName>
    <definedName name="IQ_EMPLOY_COST_INDEX_WAGE_SALARY_YOY">"c7298"</definedName>
    <definedName name="IQ_EMPLOY_COST_INDEX_WAGE_SALARY_YOY_FC">"c8178"</definedName>
    <definedName name="IQ_EMPLOYEES">"c392"</definedName>
    <definedName name="IQ_EMPLOYEES_FFIEC">"c13035"</definedName>
    <definedName name="IQ_ENTERPRISE_VALUE">"c1348"</definedName>
    <definedName name="IQ_ENTITLEMENT_DET_EST">"c12044"</definedName>
    <definedName name="IQ_ENTITLEMENT_DET_EST_CIQ">"c12104"</definedName>
    <definedName name="IQ_ENTREPRENEURAL_PROPERTY_INC">"c6859"</definedName>
    <definedName name="IQ_ENTREPRENEURAL_PROPERTY_INC_APR">"c7519"</definedName>
    <definedName name="IQ_ENTREPRENEURAL_PROPERTY_INC_APR_FC">"c8399"</definedName>
    <definedName name="IQ_ENTREPRENEURAL_PROPERTY_INC_FC">"c7739"</definedName>
    <definedName name="IQ_ENTREPRENEURAL_PROPERTY_INC_POP">"c7079"</definedName>
    <definedName name="IQ_ENTREPRENEURAL_PROPERTY_INC_POP_FC">"c7959"</definedName>
    <definedName name="IQ_ENTREPRENEURAL_PROPERTY_INC_YOY">"c7299"</definedName>
    <definedName name="IQ_ENTREPRENEURAL_PROPERTY_INC_YOY_FC">"c8179"</definedName>
    <definedName name="IQ_EPS_10YR_ANN_CAGR">"c6085"</definedName>
    <definedName name="IQ_EPS_10YR_ANN_GROWTH">"c393"</definedName>
    <definedName name="IQ_EPS_1YR_ANN_GROWTH">"c394"</definedName>
    <definedName name="IQ_EPS_2YR_ANN_CAGR">"c6086"</definedName>
    <definedName name="IQ_EPS_2YR_ANN_GROWTH">"c395"</definedName>
    <definedName name="IQ_EPS_3YR_ANN_CAGR">"c6087"</definedName>
    <definedName name="IQ_EPS_3YR_ANN_GROWTH">"c396"</definedName>
    <definedName name="IQ_EPS_5YR_ANN_CAGR">"c6088"</definedName>
    <definedName name="IQ_EPS_5YR_ANN_GROWTH">"c397"</definedName>
    <definedName name="IQ_EPS_7YR_ANN_CAGR">"c6089"</definedName>
    <definedName name="IQ_EPS_7YR_ANN_GROWTH">"c398"</definedName>
    <definedName name="IQ_EPS_ACT_OR_EST">"c2213"</definedName>
    <definedName name="IQ_EPS_ACT_OR_EST_CIQ">"c5058"</definedName>
    <definedName name="IQ_EPS_AP">"c8880"</definedName>
    <definedName name="IQ_EPS_AP_ABS">"c8899"</definedName>
    <definedName name="IQ_EPS_DET_EST">"c13571"</definedName>
    <definedName name="IQ_EPS_DET_EST_CIQ">"c13573"</definedName>
    <definedName name="IQ_EPS_DET_EST_CURRENCY">"c13583"</definedName>
    <definedName name="IQ_EPS_DET_EST_CURRENCY_CIQ">"c13585"</definedName>
    <definedName name="IQ_EPS_DET_EST_DATE">"c13575"</definedName>
    <definedName name="IQ_EPS_DET_EST_DATE_CIQ">"c13577"</definedName>
    <definedName name="IQ_EPS_DET_EST_INCL">"c13587"</definedName>
    <definedName name="IQ_EPS_DET_EST_INCL_CIQ">"c13589"</definedName>
    <definedName name="IQ_EPS_DET_EST_ORIGIN">"c13579"</definedName>
    <definedName name="IQ_EPS_DET_EST_ORIGIN_CIQ">"c13581"</definedName>
    <definedName name="IQ_EPS_EST">"c399"</definedName>
    <definedName name="IQ_EPS_EST_BOTTOM_UP">"c5489"</definedName>
    <definedName name="IQ_EPS_EST_BOTTOM_UP_CIQ">"c12026"</definedName>
    <definedName name="IQ_EPS_EST_CIQ">"c4994"</definedName>
    <definedName name="IQ_EPS_EXCL_GUIDANCE">"c4368"</definedName>
    <definedName name="IQ_EPS_EXCL_HIGH_GUIDANCE">"c4369"</definedName>
    <definedName name="IQ_EPS_EXCL_LOW_GUIDANCE">"c4204"</definedName>
    <definedName name="IQ_EPS_GAAP_GUIDANCE">"c4370"</definedName>
    <definedName name="IQ_EPS_GAAP_HIGH_GUIDANCE">"c4371"</definedName>
    <definedName name="IQ_EPS_GAAP_LOW_GUIDANCE">"c4205"</definedName>
    <definedName name="IQ_EPS_GROWTH_GUIDANCE">"c13495"</definedName>
    <definedName name="IQ_EPS_GROWTH_HIGH_GUIDANCE">"c13496"</definedName>
    <definedName name="IQ_EPS_GROWTH_LOW_GUIDANCE">"c13497"</definedName>
    <definedName name="IQ_EPS_GW_ACT_OR_EST">"c2223"</definedName>
    <definedName name="IQ_EPS_GW_ACT_OR_EST_CIQ">"c5066"</definedName>
    <definedName name="IQ_EPS_GW_DET_EST">"c12056"</definedName>
    <definedName name="IQ_EPS_GW_DET_EST_CIQ">"c12118"</definedName>
    <definedName name="IQ_EPS_GW_DET_EST_CURRENCY">"c12463"</definedName>
    <definedName name="IQ_EPS_GW_DET_EST_CURRENCY_CIQ">"c12509"</definedName>
    <definedName name="IQ_EPS_GW_DET_EST_DATE">"c12209"</definedName>
    <definedName name="IQ_EPS_GW_DET_EST_DATE_CIQ">"c12264"</definedName>
    <definedName name="IQ_EPS_GW_DET_EST_INCL">"c12346"</definedName>
    <definedName name="IQ_EPS_GW_DET_EST_INCL_CIQ">"c12392"</definedName>
    <definedName name="IQ_EPS_GW_DET_EST_ORIGIN">"c12582"</definedName>
    <definedName name="IQ_EPS_GW_DET_EST_ORIGIN_CIQ">"c12633"</definedName>
    <definedName name="IQ_EPS_GW_EST">"c1737"</definedName>
    <definedName name="IQ_EPS_GW_EST_BOTTOM_UP">"c5491"</definedName>
    <definedName name="IQ_EPS_GW_EST_BOTTOM_UP_CIQ">"c12028"</definedName>
    <definedName name="IQ_EPS_GW_EST_CIQ">"c4723"</definedName>
    <definedName name="IQ_EPS_GW_GUIDANCE">"c4372"</definedName>
    <definedName name="IQ_EPS_GW_HIGH_EST">"c1739"</definedName>
    <definedName name="IQ_EPS_GW_HIGH_EST_CIQ">"c4725"</definedName>
    <definedName name="IQ_EPS_GW_HIGH_GUIDANCE">"c4373"</definedName>
    <definedName name="IQ_EPS_GW_LOW_EST">"c1740"</definedName>
    <definedName name="IQ_EPS_GW_LOW_EST_CIQ">"c4726"</definedName>
    <definedName name="IQ_EPS_GW_LOW_GUIDANCE">"c4206"</definedName>
    <definedName name="IQ_EPS_GW_MEDIAN_EST">"c1738"</definedName>
    <definedName name="IQ_EPS_GW_MEDIAN_EST_CIQ">"c4724"</definedName>
    <definedName name="IQ_EPS_GW_NUM_EST">"c1741"</definedName>
    <definedName name="IQ_EPS_GW_NUM_EST_CIQ">"c4727"</definedName>
    <definedName name="IQ_EPS_GW_STDDEV_EST">"c1742"</definedName>
    <definedName name="IQ_EPS_GW_STDDEV_EST_CIQ">"c4728"</definedName>
    <definedName name="IQ_EPS_HIGH_EST">"c400"</definedName>
    <definedName name="IQ_EPS_HIGH_EST_CIQ">"c4995"</definedName>
    <definedName name="IQ_EPS_LOW_EST">"c401"</definedName>
    <definedName name="IQ_EPS_LOW_EST_CIQ">"c4996"</definedName>
    <definedName name="IQ_EPS_MEDIAN_EST">"c1661"</definedName>
    <definedName name="IQ_EPS_MEDIAN_EST_CIQ">"c4997"</definedName>
    <definedName name="IQ_EPS_NAME_AP">"c8918"</definedName>
    <definedName name="IQ_EPS_NAME_AP_ABS">"c8937"</definedName>
    <definedName name="IQ_EPS_NORM">"c1902"</definedName>
    <definedName name="IQ_EPS_NORM_DET_EST">"c12058"</definedName>
    <definedName name="IQ_EPS_NORM_DET_EST_CIQ">"c12120"</definedName>
    <definedName name="IQ_EPS_NORM_DET_EST_CURRENCY">"c12465"</definedName>
    <definedName name="IQ_EPS_NORM_DET_EST_CURRENCY_CIQ">"c12511"</definedName>
    <definedName name="IQ_EPS_NORM_DET_EST_DATE">"c12211"</definedName>
    <definedName name="IQ_EPS_NORM_DET_EST_DATE_CIQ">"c12266"</definedName>
    <definedName name="IQ_EPS_NORM_DET_EST_INCL">"c12348"</definedName>
    <definedName name="IQ_EPS_NORM_DET_EST_INCL_CIQ">"c12394"</definedName>
    <definedName name="IQ_EPS_NORM_DET_EST_ORIGIN">"c12583"</definedName>
    <definedName name="IQ_EPS_NORM_DET_EST_ORIGIN_CIQ">"c12635"</definedName>
    <definedName name="IQ_EPS_NORM_EST">"c2226"</definedName>
    <definedName name="IQ_EPS_NORM_EST_BOTTOM_UP">"c5490"</definedName>
    <definedName name="IQ_EPS_NORM_EST_BOTTOM_UP_CIQ">"c12027"</definedName>
    <definedName name="IQ_EPS_NORM_EST_CIQ">"c4667"</definedName>
    <definedName name="IQ_EPS_NORM_HIGH_EST">"c2228"</definedName>
    <definedName name="IQ_EPS_NORM_HIGH_EST_CIQ">"c4669"</definedName>
    <definedName name="IQ_EPS_NORM_LOW_EST">"c2229"</definedName>
    <definedName name="IQ_EPS_NORM_LOW_EST_CIQ">"c4670"</definedName>
    <definedName name="IQ_EPS_NORM_MEDIAN_EST">"c2227"</definedName>
    <definedName name="IQ_EPS_NORM_MEDIAN_EST_CIQ">"c4668"</definedName>
    <definedName name="IQ_EPS_NORM_NUM_EST">"c2230"</definedName>
    <definedName name="IQ_EPS_NORM_NUM_EST_CIQ">"c4671"</definedName>
    <definedName name="IQ_EPS_NORM_STDDEV_EST">"c2231"</definedName>
    <definedName name="IQ_EPS_NORM_STDDEV_EST_CIQ">"c4672"</definedName>
    <definedName name="IQ_EPS_NUM_EST">"c402"</definedName>
    <definedName name="IQ_EPS_NUM_EST_CIQ">"c4992"</definedName>
    <definedName name="IQ_EPS_REPORT_ACT_OR_EST">"c2224"</definedName>
    <definedName name="IQ_EPS_REPORT_ACT_OR_EST_CIQ">"c5067"</definedName>
    <definedName name="IQ_EPS_REPORTED_DET_EST">"c12057"</definedName>
    <definedName name="IQ_EPS_REPORTED_DET_EST_CIQ">"c12119"</definedName>
    <definedName name="IQ_EPS_REPORTED_DET_EST_CURRENCY">"c12464"</definedName>
    <definedName name="IQ_EPS_REPORTED_DET_EST_CURRENCY_CIQ">"c12510"</definedName>
    <definedName name="IQ_EPS_REPORTED_DET_EST_DATE">"c12210"</definedName>
    <definedName name="IQ_EPS_REPORTED_DET_EST_DATE_CIQ">"c12265"</definedName>
    <definedName name="IQ_EPS_REPORTED_DET_EST_INCL">"c12347"</definedName>
    <definedName name="IQ_EPS_REPORTED_DET_EST_INCL_CIQ">"c12393"</definedName>
    <definedName name="IQ_EPS_REPORTED_DET_EST_ORIGIN">"c12772"</definedName>
    <definedName name="IQ_EPS_REPORTED_DET_EST_ORIGIN_CIQ">"c12634"</definedName>
    <definedName name="IQ_EPS_REPORTED_EST">"c1744"</definedName>
    <definedName name="IQ_EPS_REPORTED_EST_BOTTOM_UP">"c5492"</definedName>
    <definedName name="IQ_EPS_REPORTED_EST_BOTTOM_UP_CIQ">"c12029"</definedName>
    <definedName name="IQ_EPS_REPORTED_EST_CIQ">"c4730"</definedName>
    <definedName name="IQ_EPS_REPORTED_HIGH_EST">"c1746"</definedName>
    <definedName name="IQ_EPS_REPORTED_HIGH_EST_CIQ">"c4732"</definedName>
    <definedName name="IQ_EPS_REPORTED_LOW_EST">"c1747"</definedName>
    <definedName name="IQ_EPS_REPORTED_LOW_EST_CIQ">"c4733"</definedName>
    <definedName name="IQ_EPS_REPORTED_MEDIAN_EST">"c1745"</definedName>
    <definedName name="IQ_EPS_REPORTED_MEDIAN_EST_CIQ">"c4731"</definedName>
    <definedName name="IQ_EPS_REPORTED_NUM_EST">"c1748"</definedName>
    <definedName name="IQ_EPS_REPORTED_NUM_EST_CIQ">"c4734"</definedName>
    <definedName name="IQ_EPS_REPORTED_STDDEV_EST">"c1749"</definedName>
    <definedName name="IQ_EPS_REPORTED_STDDEV_EST_CIQ">"c4735"</definedName>
    <definedName name="IQ_EPS_SBC_ACT_OR_EST">"c4376"</definedName>
    <definedName name="IQ_EPS_SBC_ACT_OR_EST_CIQ">"c4901"</definedName>
    <definedName name="IQ_EPS_SBC_EST">"c4375"</definedName>
    <definedName name="IQ_EPS_SBC_EST_CIQ">"c4900"</definedName>
    <definedName name="IQ_EPS_SBC_GW_ACT_OR_EST">"c4380"</definedName>
    <definedName name="IQ_EPS_SBC_GW_ACT_OR_EST_CIQ">"c4905"</definedName>
    <definedName name="IQ_EPS_SBC_GW_EST">"c4379"</definedName>
    <definedName name="IQ_EPS_SBC_GW_EST_CIQ">"c4904"</definedName>
    <definedName name="IQ_EPS_SBC_GW_HIGH_EST">"c4382"</definedName>
    <definedName name="IQ_EPS_SBC_GW_HIGH_EST_CIQ">"c4907"</definedName>
    <definedName name="IQ_EPS_SBC_GW_LOW_EST">"c4383"</definedName>
    <definedName name="IQ_EPS_SBC_GW_LOW_EST_CIQ">"c4908"</definedName>
    <definedName name="IQ_EPS_SBC_GW_MEDIAN_EST">"c4384"</definedName>
    <definedName name="IQ_EPS_SBC_GW_MEDIAN_EST_CIQ">"c4909"</definedName>
    <definedName name="IQ_EPS_SBC_GW_NUM_EST">"c4385"</definedName>
    <definedName name="IQ_EPS_SBC_GW_NUM_EST_CIQ">"c4910"</definedName>
    <definedName name="IQ_EPS_SBC_GW_STDDEV_EST">"c4386"</definedName>
    <definedName name="IQ_EPS_SBC_GW_STDDEV_EST_CIQ">"c4911"</definedName>
    <definedName name="IQ_EPS_SBC_HIGH_EST">"c4388"</definedName>
    <definedName name="IQ_EPS_SBC_HIGH_EST_CIQ">"c4913"</definedName>
    <definedName name="IQ_EPS_SBC_LOW_EST">"c4389"</definedName>
    <definedName name="IQ_EPS_SBC_LOW_EST_CIQ">"c4914"</definedName>
    <definedName name="IQ_EPS_SBC_MEDIAN_EST">"c4390"</definedName>
    <definedName name="IQ_EPS_SBC_MEDIAN_EST_CIQ">"c4915"</definedName>
    <definedName name="IQ_EPS_SBC_NUM_EST">"c4391"</definedName>
    <definedName name="IQ_EPS_SBC_NUM_EST_CIQ">"c4916"</definedName>
    <definedName name="IQ_EPS_SBC_STDDEV_EST">"c4392"</definedName>
    <definedName name="IQ_EPS_SBC_STDDEV_EST_CIQ">"c4917"</definedName>
    <definedName name="IQ_EPS_STDDEV_EST">"c403"</definedName>
    <definedName name="IQ_EPS_STDDEV_EST_CIQ">"c4993"</definedName>
    <definedName name="IQ_EQUITY_AFFIL">"c1451"</definedName>
    <definedName name="IQ_EQUITY_AP">"c8887"</definedName>
    <definedName name="IQ_EQUITY_AP_ABS">"c8906"</definedName>
    <definedName name="IQ_EQUITY_ASSETS_TOT_FFIEC">"c13436"</definedName>
    <definedName name="IQ_EQUITY_BEG_EXCL_FFIEC">"c12957"</definedName>
    <definedName name="IQ_EQUITY_BEG_FFIEC">"c12959"</definedName>
    <definedName name="IQ_EQUITY_CAPITAL_ASSETS_FDIC">"c6744"</definedName>
    <definedName name="IQ_EQUITY_CAPITAL_QUARTERLY_AVG_FFIEC">"c13092"</definedName>
    <definedName name="IQ_EQUITY_ENDING_FFIEC">"c12973"</definedName>
    <definedName name="IQ_EQUITY_FDIC">"c6353"</definedName>
    <definedName name="IQ_EQUITY_INDEX_EXPOSURE_FFIEC">"c13060"</definedName>
    <definedName name="IQ_EQUITY_LIST">"c15158"</definedName>
    <definedName name="IQ_EQUITY_METHOD">"c404"</definedName>
    <definedName name="IQ_EQUITY_NAME_AP">"c8925"</definedName>
    <definedName name="IQ_EQUITY_NAME_AP_ABS">"c8944"</definedName>
    <definedName name="IQ_EQUITY_SEC_FAIR_VALUE_FFIEC">"c12805"</definedName>
    <definedName name="IQ_EQUITY_SEC_INVEST_SECURITIES_FFIEC">"c13463"</definedName>
    <definedName name="IQ_EQUITY_SECURITIES_FDIC">"c6304"</definedName>
    <definedName name="IQ_EQUITY_SECURITIES_QUARTERLY_AVG_FFIEC">"c15474"</definedName>
    <definedName name="IQ_EQUITY_SECURITIES_WITHOUT_FAIR_VALUES_FFIEC">"c12846"</definedName>
    <definedName name="IQ_EQUITY_SECURITY_EXPOSURES_FDIC">"c6664"</definedName>
    <definedName name="IQ_EQUITY_TIER_ONE_CAPITAL">"c15246"</definedName>
    <definedName name="IQ_EQUITY_TIER_ONE_CAPITAL_RATIO">"c15242"</definedName>
    <definedName name="IQ_EQV_OVER_BV">"c1596"</definedName>
    <definedName name="IQ_EQV_OVER_LTM_PRETAX_INC">"c1390"</definedName>
    <definedName name="IQ_ESOP_DEBT">"c1597"</definedName>
    <definedName name="IQ_ESOP_DEBT_GUARANTEED_FFIEC">"c12971"</definedName>
    <definedName name="IQ_ESOP_OVER_TOTAL">"c13768"</definedName>
    <definedName name="IQ_EST_ACT_BV">"c5630"</definedName>
    <definedName name="IQ_EST_ACT_BV_CIQ">"c4743"</definedName>
    <definedName name="IQ_EST_ACT_BV_SHARE">"c3549"</definedName>
    <definedName name="IQ_EST_ACT_BV_SHARE_CIQ">"c3806"</definedName>
    <definedName name="IQ_EST_ACT_CAPEX">"c3546"</definedName>
    <definedName name="IQ_EST_ACT_CAPEX_CIQ">"c3813"</definedName>
    <definedName name="IQ_EST_ACT_CASH_EPS">"c5637"</definedName>
    <definedName name="IQ_EST_ACT_CASH_FLOW">"c4394"</definedName>
    <definedName name="IQ_EST_ACT_CASH_FLOW_CIQ">"c4919"</definedName>
    <definedName name="IQ_EST_ACT_CASH_OPER">"c4395"</definedName>
    <definedName name="IQ_EST_ACT_CASH_OPER_CIQ">"c4920"</definedName>
    <definedName name="IQ_EST_ACT_CFPS">"c1673"</definedName>
    <definedName name="IQ_EST_ACT_CFPS_CIQ">"c3681"</definedName>
    <definedName name="IQ_EST_ACT_DISTRIBUTABLE_CASH">"c4396"</definedName>
    <definedName name="IQ_EST_ACT_DISTRIBUTABLE_CASH_CIQ">"c4921"</definedName>
    <definedName name="IQ_EST_ACT_DISTRIBUTABLE_CASH_SHARE">"c4397"</definedName>
    <definedName name="IQ_EST_ACT_DISTRIBUTABLE_CASH_SHARE_CIQ">"c4922"</definedName>
    <definedName name="IQ_EST_ACT_DPS">"c1680"</definedName>
    <definedName name="IQ_EST_ACT_DPS_CIQ">"c3688"</definedName>
    <definedName name="IQ_EST_ACT_EBIT">"c1687"</definedName>
    <definedName name="IQ_EST_ACT_EBIT_CIQ">"c4680"</definedName>
    <definedName name="IQ_EST_ACT_EBIT_GW">"c4398"</definedName>
    <definedName name="IQ_EST_ACT_EBIT_GW_CIQ">"c4923"</definedName>
    <definedName name="IQ_EST_ACT_EBIT_SBC">"c4399"</definedName>
    <definedName name="IQ_EST_ACT_EBIT_SBC_CIQ">"c4924"</definedName>
    <definedName name="IQ_EST_ACT_EBIT_SBC_GW">"c4400"</definedName>
    <definedName name="IQ_EST_ACT_EBIT_SBC_GW_CIQ">"c4925"</definedName>
    <definedName name="IQ_EST_ACT_EBITDA">"c1664"</definedName>
    <definedName name="IQ_EST_ACT_EBITDA_CIQ">"c3667"</definedName>
    <definedName name="IQ_EST_ACT_EBITDA_SBC">"c4401"</definedName>
    <definedName name="IQ_EST_ACT_EBITDA_SBC_CIQ">"c4926"</definedName>
    <definedName name="IQ_EST_ACT_EBT_SBC">"c4402"</definedName>
    <definedName name="IQ_EST_ACT_EBT_SBC_CIQ">"c4927"</definedName>
    <definedName name="IQ_EST_ACT_EBT_SBC_GW">"c4403"</definedName>
    <definedName name="IQ_EST_ACT_EBT_SBC_GW_CIQ">"c4928"</definedName>
    <definedName name="IQ_EST_ACT_EPS">"c1648"</definedName>
    <definedName name="IQ_EST_ACT_EPS_CIQ">"c4998"</definedName>
    <definedName name="IQ_EST_ACT_EPS_GW">"c1743"</definedName>
    <definedName name="IQ_EST_ACT_EPS_GW_CIQ">"c4729"</definedName>
    <definedName name="IQ_EST_ACT_EPS_NORM">"c2232"</definedName>
    <definedName name="IQ_EST_ACT_EPS_NORM_CIQ">"c4673"</definedName>
    <definedName name="IQ_EST_ACT_EPS_REPORTED">"c1750"</definedName>
    <definedName name="IQ_EST_ACT_EPS_REPORTED_CIQ">"c4736"</definedName>
    <definedName name="IQ_EST_ACT_EPS_SBC">"c4404"</definedName>
    <definedName name="IQ_EST_ACT_EPS_SBC_CIQ">"c4929"</definedName>
    <definedName name="IQ_EST_ACT_EPS_SBC_GW">"c4405"</definedName>
    <definedName name="IQ_EST_ACT_EPS_SBC_GW_CIQ">"c4930"</definedName>
    <definedName name="IQ_EST_ACT_FFO">"c4407"</definedName>
    <definedName name="IQ_EST_ACT_FFO_ADJ">"c4406"</definedName>
    <definedName name="IQ_EST_ACT_FFO_ADJ_CIQ">"c4931"</definedName>
    <definedName name="IQ_EST_ACT_FFO_CIQ">"c4932"</definedName>
    <definedName name="IQ_EST_ACT_FFO_SHARE">"c1666"</definedName>
    <definedName name="IQ_EST_ACT_FFO_SHARE_CIQ">"c3674"</definedName>
    <definedName name="IQ_EST_ACT_FFO_SHARE_SHARE_THOM">"c4005"</definedName>
    <definedName name="IQ_EST_ACT_FFO_THOM">"c4005"</definedName>
    <definedName name="IQ_EST_ACT_GROSS_MARGIN">"c5553"</definedName>
    <definedName name="IQ_EST_ACT_MAINT_CAPEX">"c4408"</definedName>
    <definedName name="IQ_EST_ACT_MAINT_CAPEX_CIQ">"c4933"</definedName>
    <definedName name="IQ_EST_ACT_NAV">"c1757"</definedName>
    <definedName name="IQ_EST_ACT_NAV_SHARE">"c5608"</definedName>
    <definedName name="IQ_EST_ACT_NAV_SHARE_CIQ">"c12031"</definedName>
    <definedName name="IQ_EST_ACT_NET_DEBT">"c3545"</definedName>
    <definedName name="IQ_EST_ACT_NET_DEBT_CIQ">"c3820"</definedName>
    <definedName name="IQ_EST_ACT_NI">"c1722"</definedName>
    <definedName name="IQ_EST_ACT_NI_CIQ">"c4708"</definedName>
    <definedName name="IQ_EST_ACT_NI_GW_CIQ">"c4715"</definedName>
    <definedName name="IQ_EST_ACT_NI_REPORTED">"c1736"</definedName>
    <definedName name="IQ_EST_ACT_NI_REPORTED_CIQ">"c4722"</definedName>
    <definedName name="IQ_EST_ACT_NI_SBC">"c4409"</definedName>
    <definedName name="IQ_EST_ACT_NI_SBC_CIQ">"c4934"</definedName>
    <definedName name="IQ_EST_ACT_NI_SBC_GW">"c4410"</definedName>
    <definedName name="IQ_EST_ACT_NI_SBC_GW_CIQ">"c4935"</definedName>
    <definedName name="IQ_EST_ACT_OPER_INC">"c1694"</definedName>
    <definedName name="IQ_EST_ACT_OPER_INC_CIQ">"c12016"</definedName>
    <definedName name="IQ_EST_ACT_PRETAX_GW_INC">"c1708"</definedName>
    <definedName name="IQ_EST_ACT_PRETAX_GW_INC_CIQ">"c4694"</definedName>
    <definedName name="IQ_EST_ACT_PRETAX_INC">"c1701"</definedName>
    <definedName name="IQ_EST_ACT_PRETAX_INC_CIQ">"c4687"</definedName>
    <definedName name="IQ_EST_ACT_PRETAX_REPORT_INC">"c1715"</definedName>
    <definedName name="IQ_EST_ACT_PRETAX_REPORT_INC_CIQ">"c4701"</definedName>
    <definedName name="IQ_EST_ACT_RECURRING_PROFIT">"c4411"</definedName>
    <definedName name="IQ_EST_ACT_RECURRING_PROFIT_CIQ">"c4936"</definedName>
    <definedName name="IQ_EST_ACT_RECURRING_PROFIT_SHARE">"c4412"</definedName>
    <definedName name="IQ_EST_ACT_RECURRING_PROFIT_SHARE_CIQ">"c4937"</definedName>
    <definedName name="IQ_EST_ACT_RETURN_ASSETS">"c3547"</definedName>
    <definedName name="IQ_EST_ACT_RETURN_EQUITY">"c3548"</definedName>
    <definedName name="IQ_EST_ACT_REV">"c2113"</definedName>
    <definedName name="IQ_EST_ACT_REV_CIQ">"c3666"</definedName>
    <definedName name="IQ_EST_BV_SHARE_DIFF">"c4147"</definedName>
    <definedName name="IQ_EST_BV_SHARE_DIFF_CIQ">"c4559"</definedName>
    <definedName name="IQ_EST_BV_SHARE_SURPRISE_PERCENT">"c4148"</definedName>
    <definedName name="IQ_EST_BV_SHARE_SURPRISE_PERCENT_CIQ">"c4560"</definedName>
    <definedName name="IQ_EST_CAPEX_DIFF">"c4149"</definedName>
    <definedName name="IQ_EST_CAPEX_DIFF_CIQ">"c4561"</definedName>
    <definedName name="IQ_EST_CAPEX_GROWTH_1YR">"c3588"</definedName>
    <definedName name="IQ_EST_CAPEX_GROWTH_1YR_CIQ">"c4972"</definedName>
    <definedName name="IQ_EST_CAPEX_GROWTH_2YR">"c3589"</definedName>
    <definedName name="IQ_EST_CAPEX_GROWTH_2YR_CIQ">"c4973"</definedName>
    <definedName name="IQ_EST_CAPEX_GROWTH_Q_1YR">"c3590"</definedName>
    <definedName name="IQ_EST_CAPEX_GROWTH_Q_1YR_CIQ">"c4974"</definedName>
    <definedName name="IQ_EST_CAPEX_SEQ_GROWTH_Q">"c3591"</definedName>
    <definedName name="IQ_EST_CAPEX_SEQ_GROWTH_Q_CIQ">"c4975"</definedName>
    <definedName name="IQ_EST_CAPEX_SURPRISE_PERCENT">"c4151"</definedName>
    <definedName name="IQ_EST_CAPEX_SURPRISE_PERCENT_CIQ">"c4563"</definedName>
    <definedName name="IQ_EST_CASH_FLOW_DIFF">"c4152"</definedName>
    <definedName name="IQ_EST_CASH_FLOW_DIFF_CIQ">"c4564"</definedName>
    <definedName name="IQ_EST_CASH_FLOW_SURPRISE_PERCENT">"c4161"</definedName>
    <definedName name="IQ_EST_CASH_FLOW_SURPRISE_PERCENT_CIQ">"c4573"</definedName>
    <definedName name="IQ_EST_CASH_OPER_DIFF">"c4162"</definedName>
    <definedName name="IQ_EST_CASH_OPER_DIFF_CIQ">"c4574"</definedName>
    <definedName name="IQ_EST_CASH_OPER_SURPRISE_PERCENT">"c4248"</definedName>
    <definedName name="IQ_EST_CASH_OPER_SURPRISE_PERCENT_CIQ">"c4774"</definedName>
    <definedName name="IQ_EST_CFPS_DIFF">"c1871"</definedName>
    <definedName name="IQ_EST_CFPS_DIFF_CIQ">"c3723"</definedName>
    <definedName name="IQ_EST_CFPS_GROWTH_1YR">"c1774"</definedName>
    <definedName name="IQ_EST_CFPS_GROWTH_1YR_CIQ">"c3709"</definedName>
    <definedName name="IQ_EST_CFPS_GROWTH_2YR">"c1775"</definedName>
    <definedName name="IQ_EST_CFPS_GROWTH_2YR_CIQ">"c3710"</definedName>
    <definedName name="IQ_EST_CFPS_GROWTH_Q_1YR">"c1776"</definedName>
    <definedName name="IQ_EST_CFPS_GROWTH_Q_1YR_CIQ">"c3711"</definedName>
    <definedName name="IQ_EST_CFPS_SEQ_GROWTH_Q">"c1777"</definedName>
    <definedName name="IQ_EST_CFPS_SEQ_GROWTH_Q_CIQ">"c3712"</definedName>
    <definedName name="IQ_EST_CFPS_SURPRISE_PERCENT">"c1872"</definedName>
    <definedName name="IQ_EST_CFPS_SURPRISE_PERCENT_CIQ">"c3724"</definedName>
    <definedName name="IQ_EST_CURRENCY">"c2140"</definedName>
    <definedName name="IQ_EST_CURRENCY_CIQ">"c4769"</definedName>
    <definedName name="IQ_EST_DATE">"c1634"</definedName>
    <definedName name="IQ_EST_DATE_CIQ">"c4770"</definedName>
    <definedName name="IQ_EST_DISTRIBUTABLE_CASH_DIFF">"c4276"</definedName>
    <definedName name="IQ_EST_DISTRIBUTABLE_CASH_DIFF_CIQ">"c4801"</definedName>
    <definedName name="IQ_EST_DISTRIBUTABLE_CASH_GROWTH_1YR">"c4413"</definedName>
    <definedName name="IQ_EST_DISTRIBUTABLE_CASH_GROWTH_1YR_CIQ">"c4938"</definedName>
    <definedName name="IQ_EST_DISTRIBUTABLE_CASH_GROWTH_2YR">"c4414"</definedName>
    <definedName name="IQ_EST_DISTRIBUTABLE_CASH_GROWTH_2YR_CIQ">"c4939"</definedName>
    <definedName name="IQ_EST_DISTRIBUTABLE_CASH_GROWTH_Q_1YR">"c4415"</definedName>
    <definedName name="IQ_EST_DISTRIBUTABLE_CASH_GROWTH_Q_1YR_CIQ">"c4940"</definedName>
    <definedName name="IQ_EST_DISTRIBUTABLE_CASH_SEQ_GROWTH_Q">"c4416"</definedName>
    <definedName name="IQ_EST_DISTRIBUTABLE_CASH_SEQ_GROWTH_Q_CIQ">"c4941"</definedName>
    <definedName name="IQ_EST_DISTRIBUTABLE_CASH_SHARE_DIFF">"c4284"</definedName>
    <definedName name="IQ_EST_DISTRIBUTABLE_CASH_SHARE_DIFF_CIQ">"c4809"</definedName>
    <definedName name="IQ_EST_DISTRIBUTABLE_CASH_SHARE_GROWTH_1YR">"c4417"</definedName>
    <definedName name="IQ_EST_DISTRIBUTABLE_CASH_SHARE_GROWTH_1YR_CIQ">"c4942"</definedName>
    <definedName name="IQ_EST_DISTRIBUTABLE_CASH_SHARE_GROWTH_2YR">"c4418"</definedName>
    <definedName name="IQ_EST_DISTRIBUTABLE_CASH_SHARE_GROWTH_2YR_CIQ">"c4943"</definedName>
    <definedName name="IQ_EST_DISTRIBUTABLE_CASH_SHARE_GROWTH_Q_1YR">"c4419"</definedName>
    <definedName name="IQ_EST_DISTRIBUTABLE_CASH_SHARE_GROWTH_Q_1YR_CIQ">"c4944"</definedName>
    <definedName name="IQ_EST_DISTRIBUTABLE_CASH_SHARE_SEQ_GROWTH_Q">"c4420"</definedName>
    <definedName name="IQ_EST_DISTRIBUTABLE_CASH_SHARE_SEQ_GROWTH_Q_CIQ">"c4945"</definedName>
    <definedName name="IQ_EST_DISTRIBUTABLE_CASH_SHARE_SURPRISE_PERCENT">"c4293"</definedName>
    <definedName name="IQ_EST_DISTRIBUTABLE_CASH_SHARE_SURPRISE_PERCENT_CIQ">"c4818"</definedName>
    <definedName name="IQ_EST_DISTRIBUTABLE_CASH_SURPRISE_PERCENT">"c4295"</definedName>
    <definedName name="IQ_EST_DISTRIBUTABLE_CASH_SURPRISE_PERCENT_CIQ">"c4820"</definedName>
    <definedName name="IQ_EST_DPS_DIFF">"c1873"</definedName>
    <definedName name="IQ_EST_DPS_DIFF_CIQ">"c3725"</definedName>
    <definedName name="IQ_EST_DPS_GROWTH_1YR">"c1778"</definedName>
    <definedName name="IQ_EST_DPS_GROWTH_1YR_CIQ">"c3713"</definedName>
    <definedName name="IQ_EST_DPS_GROWTH_2YR">"c1779"</definedName>
    <definedName name="IQ_EST_DPS_GROWTH_2YR_CIQ">"c3714"</definedName>
    <definedName name="IQ_EST_DPS_GROWTH_Q_1YR">"c1780"</definedName>
    <definedName name="IQ_EST_DPS_GROWTH_Q_1YR_CIQ">"c3715"</definedName>
    <definedName name="IQ_EST_DPS_SEQ_GROWTH_Q">"c1781"</definedName>
    <definedName name="IQ_EST_DPS_SEQ_GROWTH_Q_CIQ">"c3716"</definedName>
    <definedName name="IQ_EST_DPS_SURPRISE_PERCENT">"c1874"</definedName>
    <definedName name="IQ_EST_DPS_SURPRISE_PERCENT_CIQ">"c3726"</definedName>
    <definedName name="IQ_EST_EBIT_DIFF">"c1875"</definedName>
    <definedName name="IQ_EST_EBIT_DIFF_CIQ">"c4747"</definedName>
    <definedName name="IQ_EST_EBIT_GW_DIFF">"c4304"</definedName>
    <definedName name="IQ_EST_EBIT_GW_DIFF_CIQ">"c4829"</definedName>
    <definedName name="IQ_EST_EBIT_GW_SURPRISE_PERCENT">"c4313"</definedName>
    <definedName name="IQ_EST_EBIT_GW_SURPRISE_PERCENT_CIQ">"c4838"</definedName>
    <definedName name="IQ_EST_EBIT_SBC_DIFF">"c4314"</definedName>
    <definedName name="IQ_EST_EBIT_SBC_DIFF_CIQ">"c4839"</definedName>
    <definedName name="IQ_EST_EBIT_SBC_GW_DIFF">"c4318"</definedName>
    <definedName name="IQ_EST_EBIT_SBC_GW_DIFF_CIQ">"c4843"</definedName>
    <definedName name="IQ_EST_EBIT_SBC_GW_SURPRISE_PERCENT">"c4327"</definedName>
    <definedName name="IQ_EST_EBIT_SBC_GW_SURPRISE_PERCENT_CIQ">"c4852"</definedName>
    <definedName name="IQ_EST_EBIT_SBC_SURPRISE_PERCENT">"c4333"</definedName>
    <definedName name="IQ_EST_EBIT_SBC_SURPRISE_PERCENT_CIQ">"c4858"</definedName>
    <definedName name="IQ_EST_EBIT_SURPRISE_PERCENT">"c1876"</definedName>
    <definedName name="IQ_EST_EBIT_SURPRISE_PERCENT_CIQ">"c4748"</definedName>
    <definedName name="IQ_EST_EBITDA_DIFF">"c1867"</definedName>
    <definedName name="IQ_EST_EBITDA_DIFF_CIQ">"c3719"</definedName>
    <definedName name="IQ_EST_EBITDA_GROWTH_1YR">"c1766"</definedName>
    <definedName name="IQ_EST_EBITDA_GROWTH_1YR_CIQ">"c3695"</definedName>
    <definedName name="IQ_EST_EBITDA_GROWTH_2YR">"c1767"</definedName>
    <definedName name="IQ_EST_EBITDA_GROWTH_2YR_CIQ">"c3696"</definedName>
    <definedName name="IQ_EST_EBITDA_GROWTH_Q_1YR">"c1768"</definedName>
    <definedName name="IQ_EST_EBITDA_GROWTH_Q_1YR_CIQ">"c3697"</definedName>
    <definedName name="IQ_EST_EBITDA_SBC_DIFF">"c4335"</definedName>
    <definedName name="IQ_EST_EBITDA_SBC_DIFF_CIQ">"c4860"</definedName>
    <definedName name="IQ_EST_EBITDA_SBC_SURPRISE_PERCENT">"c4344"</definedName>
    <definedName name="IQ_EST_EBITDA_SBC_SURPRISE_PERCENT_CIQ">"c4869"</definedName>
    <definedName name="IQ_EST_EBITDA_SEQ_GROWTH_Q">"c1769"</definedName>
    <definedName name="IQ_EST_EBITDA_SEQ_GROWTH_Q_CIQ">"c3698"</definedName>
    <definedName name="IQ_EST_EBITDA_SURPRISE_PERCENT">"c1868"</definedName>
    <definedName name="IQ_EST_EBITDA_SURPRISE_PERCENT_CIQ">"c3720"</definedName>
    <definedName name="IQ_EST_EBT_SBC_DIFF">"c4348"</definedName>
    <definedName name="IQ_EST_EBT_SBC_DIFF_CIQ">"c4873"</definedName>
    <definedName name="IQ_EST_EBT_SBC_GW_DIFF">"c4352"</definedName>
    <definedName name="IQ_EST_EBT_SBC_GW_DIFF_CIQ">"c4877"</definedName>
    <definedName name="IQ_EST_EBT_SBC_GW_SURPRISE_PERCENT">"c4361"</definedName>
    <definedName name="IQ_EST_EBT_SBC_GW_SURPRISE_PERCENT_CIQ">"c4886"</definedName>
    <definedName name="IQ_EST_EBT_SBC_SURPRISE_PERCENT">"c4367"</definedName>
    <definedName name="IQ_EST_EBT_SBC_SURPRISE_PERCENT_CIQ">"c4892"</definedName>
    <definedName name="IQ_EST_EPS_DIFF">"c1864"</definedName>
    <definedName name="IQ_EST_EPS_DIFF_CIQ">"c4999"</definedName>
    <definedName name="IQ_EST_EPS_GROWTH_1YR">"c1636"</definedName>
    <definedName name="IQ_EST_EPS_GROWTH_1YR_CIQ">"c3628"</definedName>
    <definedName name="IQ_EST_EPS_GROWTH_2YR">"c1637"</definedName>
    <definedName name="IQ_EST_EPS_GROWTH_2YR_CIQ">"c3689"</definedName>
    <definedName name="IQ_EST_EPS_GROWTH_5YR">"c1655"</definedName>
    <definedName name="IQ_EST_EPS_GROWTH_5YR_BOTTOM_UP">"c5487"</definedName>
    <definedName name="IQ_EST_EPS_GROWTH_5YR_BOTTOM_UP_CIQ">"c12024"</definedName>
    <definedName name="IQ_EST_EPS_GROWTH_5YR_CIQ">"c3615"</definedName>
    <definedName name="IQ_EST_EPS_GROWTH_5YR_HIGH">"c1657"</definedName>
    <definedName name="IQ_EST_EPS_GROWTH_5YR_HIGH_CIQ">"c4663"</definedName>
    <definedName name="IQ_EST_EPS_GROWTH_5YR_LOW">"c1658"</definedName>
    <definedName name="IQ_EST_EPS_GROWTH_5YR_LOW_CIQ">"c4664"</definedName>
    <definedName name="IQ_EST_EPS_GROWTH_5YR_MEDIAN">"c1656"</definedName>
    <definedName name="IQ_EST_EPS_GROWTH_5YR_MEDIAN_CIQ">"c5480"</definedName>
    <definedName name="IQ_EST_EPS_GROWTH_5YR_NUM">"c1659"</definedName>
    <definedName name="IQ_EST_EPS_GROWTH_5YR_NUM_CIQ">"c4665"</definedName>
    <definedName name="IQ_EST_EPS_GROWTH_5YR_STDDEV">"c1660"</definedName>
    <definedName name="IQ_EST_EPS_GROWTH_5YR_STDDEV_CIQ">"c4666"</definedName>
    <definedName name="IQ_EST_EPS_GROWTH_Q_1YR">"c1641"</definedName>
    <definedName name="IQ_EST_EPS_GROWTH_Q_1YR_CIQ">"c4744"</definedName>
    <definedName name="IQ_EST_EPS_GW_DIFF">"c1891"</definedName>
    <definedName name="IQ_EST_EPS_GW_DIFF_CIQ">"c4761"</definedName>
    <definedName name="IQ_EST_EPS_GW_SURPRISE_PERCENT">"c1892"</definedName>
    <definedName name="IQ_EST_EPS_GW_SURPRISE_PERCENT_CIQ">"c4762"</definedName>
    <definedName name="IQ_EST_EPS_NORM_DIFF">"c2247"</definedName>
    <definedName name="IQ_EST_EPS_NORM_DIFF_CIQ">"c4745"</definedName>
    <definedName name="IQ_EST_EPS_NORM_SURPRISE_PERCENT">"c2248"</definedName>
    <definedName name="IQ_EST_EPS_NORM_SURPRISE_PERCENT_CIQ">"c4746"</definedName>
    <definedName name="IQ_EST_EPS_REPORT_DIFF">"c1893"</definedName>
    <definedName name="IQ_EST_EPS_REPORT_DIFF_CIQ">"c4763"</definedName>
    <definedName name="IQ_EST_EPS_REPORT_SURPRISE_PERCENT">"c1894"</definedName>
    <definedName name="IQ_EST_EPS_REPORT_SURPRISE_PERCENT_CIQ">"c4764"</definedName>
    <definedName name="IQ_EST_EPS_SBC_DIFF">"c4374"</definedName>
    <definedName name="IQ_EST_EPS_SBC_DIFF_CIQ">"c4899"</definedName>
    <definedName name="IQ_EST_EPS_SBC_GW_DIFF">"c4378"</definedName>
    <definedName name="IQ_EST_EPS_SBC_GW_DIFF_CIQ">"c4903"</definedName>
    <definedName name="IQ_EST_EPS_SBC_GW_SURPRISE_PERCENT">"c4387"</definedName>
    <definedName name="IQ_EST_EPS_SBC_GW_SURPRISE_PERCENT_CIQ">"c4912"</definedName>
    <definedName name="IQ_EST_EPS_SBC_SURPRISE_PERCENT">"c4393"</definedName>
    <definedName name="IQ_EST_EPS_SBC_SURPRISE_PERCENT_CIQ">"c4918"</definedName>
    <definedName name="IQ_EST_EPS_SEQ_GROWTH_Q">"c1764"</definedName>
    <definedName name="IQ_EST_EPS_SEQ_GROWTH_Q_CIQ">"c3690"</definedName>
    <definedName name="IQ_EST_EPS_SURPRISE_PERCENT">"c1635"</definedName>
    <definedName name="IQ_EST_EPS_SURPRISE_PERCENT_CIQ">"c5000"</definedName>
    <definedName name="IQ_EST_FAIR_VALUE_MORT_SERVICING_ASSETS_FFIEC">"c12956"</definedName>
    <definedName name="IQ_EST_FFO_ADJ_DIFF">"c4433"</definedName>
    <definedName name="IQ_EST_FFO_ADJ_DIFF_CIQ">"c4958"</definedName>
    <definedName name="IQ_EST_FFO_ADJ_GROWTH_1YR">"c4421"</definedName>
    <definedName name="IQ_EST_FFO_ADJ_GROWTH_1YR_CIQ">"c4946"</definedName>
    <definedName name="IQ_EST_FFO_ADJ_GROWTH_2YR">"c4422"</definedName>
    <definedName name="IQ_EST_FFO_ADJ_GROWTH_2YR_CIQ">"c4947"</definedName>
    <definedName name="IQ_EST_FFO_ADJ_GROWTH_Q_1YR">"c4423"</definedName>
    <definedName name="IQ_EST_FFO_ADJ_GROWTH_Q_1YR_CIQ">"c4948"</definedName>
    <definedName name="IQ_EST_FFO_ADJ_SEQ_GROWTH_Q">"c4424"</definedName>
    <definedName name="IQ_EST_FFO_ADJ_SEQ_GROWTH_Q_CIQ">"c4949"</definedName>
    <definedName name="IQ_EST_FFO_ADJ_SURPRISE_PERCENT">"c4442"</definedName>
    <definedName name="IQ_EST_FFO_ADJ_SURPRISE_PERCENT_CIQ">"c4967"</definedName>
    <definedName name="IQ_EST_FFO_DIFF">"c4444"</definedName>
    <definedName name="IQ_EST_FFO_DIFF_CIQ">"c4969"</definedName>
    <definedName name="IQ_EST_FFO_DIFF_THOM">"c5186"</definedName>
    <definedName name="IQ_EST_FFO_GROWTH_1YR">"c4425"</definedName>
    <definedName name="IQ_EST_FFO_GROWTH_1YR_CIQ">"c4950"</definedName>
    <definedName name="IQ_EST_FFO_GROWTH_2YR">"c4426"</definedName>
    <definedName name="IQ_EST_FFO_GROWTH_2YR_CIQ">"c4951"</definedName>
    <definedName name="IQ_EST_FFO_GROWTH_Q_1YR">"c4427"</definedName>
    <definedName name="IQ_EST_FFO_GROWTH_Q_1YR_CIQ">"c4952"</definedName>
    <definedName name="IQ_EST_FFO_SEQ_GROWTH_Q">"c4428"</definedName>
    <definedName name="IQ_EST_FFO_SEQ_GROWTH_Q_CIQ">"c4953"</definedName>
    <definedName name="IQ_EST_FFO_SHARE_DIFF">"c1869"</definedName>
    <definedName name="IQ_EST_FFO_SHARE_DIFF_CIQ">"c3721"</definedName>
    <definedName name="IQ_EST_FFO_SHARE_GROWTH_1YR">"c1770"</definedName>
    <definedName name="IQ_EST_FFO_SHARE_GROWTH_1YR_CIQ">"c3705"</definedName>
    <definedName name="IQ_EST_FFO_SHARE_GROWTH_2YR">"c1771"</definedName>
    <definedName name="IQ_EST_FFO_SHARE_GROWTH_2YR_CIQ">"c3706"</definedName>
    <definedName name="IQ_EST_FFO_SHARE_GROWTH_Q_1YR">"c1772"</definedName>
    <definedName name="IQ_EST_FFO_SHARE_GROWTH_Q_1YR_CIQ">"c3707"</definedName>
    <definedName name="IQ_EST_FFO_SHARE_SEQ_GROWTH_Q">"c1773"</definedName>
    <definedName name="IQ_EST_FFO_SHARE_SEQ_GROWTH_Q_CIQ">"c3708"</definedName>
    <definedName name="IQ_EST_FFO_SHARE_SHARE_DIFF_THOM">"c5186"</definedName>
    <definedName name="IQ_EST_FFO_SHARE_SHARE_SURPRISE_PERCENT_THOM">"c5187"</definedName>
    <definedName name="IQ_EST_FFO_SHARE_SURPRISE_PERCENT">"c1870"</definedName>
    <definedName name="IQ_EST_FFO_SHARE_SURPRISE_PERCENT_CIQ">"c3722"</definedName>
    <definedName name="IQ_EST_FFO_SURPRISE_PERCENT">"c4453"</definedName>
    <definedName name="IQ_EST_FFO_SURPRISE_PERCENT_CIQ">"c4982"</definedName>
    <definedName name="IQ_EST_FFO_SURPRISE_PERCENT_THOM">"c5187"</definedName>
    <definedName name="IQ_EST_FOOTNOTE">"c4540"</definedName>
    <definedName name="IQ_EST_FOOTNOTE_CIQ">"c12022"</definedName>
    <definedName name="IQ_EST_MAINT_CAPEX_DIFF">"c4456"</definedName>
    <definedName name="IQ_EST_MAINT_CAPEX_DIFF_CIQ">"c4985"</definedName>
    <definedName name="IQ_EST_MAINT_CAPEX_GROWTH_1YR">"c4429"</definedName>
    <definedName name="IQ_EST_MAINT_CAPEX_GROWTH_1YR_CIQ">"c4954"</definedName>
    <definedName name="IQ_EST_MAINT_CAPEX_GROWTH_2YR">"c4430"</definedName>
    <definedName name="IQ_EST_MAINT_CAPEX_GROWTH_2YR_CIQ">"c4955"</definedName>
    <definedName name="IQ_EST_MAINT_CAPEX_GROWTH_Q_1YR">"c4431"</definedName>
    <definedName name="IQ_EST_MAINT_CAPEX_GROWTH_Q_1YR_CIQ">"c4956"</definedName>
    <definedName name="IQ_EST_MAINT_CAPEX_SEQ_GROWTH_Q">"c4432"</definedName>
    <definedName name="IQ_EST_MAINT_CAPEX_SEQ_GROWTH_Q_CIQ">"c4957"</definedName>
    <definedName name="IQ_EST_MAINT_CAPEX_SURPRISE_PERCENT">"c4465"</definedName>
    <definedName name="IQ_EST_MAINT_CAPEX_SURPRISE_PERCENT_CIQ">"c5003"</definedName>
    <definedName name="IQ_EST_NAV_DIFF">"c1895"</definedName>
    <definedName name="IQ_EST_NAV_SHARE_SURPRISE_PERCENT">"c1896"</definedName>
    <definedName name="IQ_EST_NAV_SURPRISE_PERCENT">"c12040"</definedName>
    <definedName name="IQ_EST_NET_DEBT_DIFF">"c4466"</definedName>
    <definedName name="IQ_EST_NET_DEBT_DIFF_CIQ">"c5004"</definedName>
    <definedName name="IQ_EST_NET_DEBT_SURPRISE_PERCENT">"c4468"</definedName>
    <definedName name="IQ_EST_NET_DEBT_SURPRISE_PERCENT_CIQ">"c5006"</definedName>
    <definedName name="IQ_EST_NEXT_EARNINGS_DATE">"c13591"</definedName>
    <definedName name="IQ_EST_NI_DIFF">"c1885"</definedName>
    <definedName name="IQ_EST_NI_DIFF_CIQ">"c4755"</definedName>
    <definedName name="IQ_EST_NI_GW_DIFF_CIQ">"c4757"</definedName>
    <definedName name="IQ_EST_NI_GW_SURPRISE_PERCENT_CIQ">"c4758"</definedName>
    <definedName name="IQ_EST_NI_REPORT_DIFF">"c1889"</definedName>
    <definedName name="IQ_EST_NI_REPORT_DIFF_CIQ">"c4759"</definedName>
    <definedName name="IQ_EST_NI_REPORT_SURPRISE_PERCENT">"c1890"</definedName>
    <definedName name="IQ_EST_NI_REPORT_SURPRISE_PERCENT_CIQ">"c4760"</definedName>
    <definedName name="IQ_EST_NI_SBC_DIFF">"c4472"</definedName>
    <definedName name="IQ_EST_NI_SBC_DIFF_CIQ">"c5010"</definedName>
    <definedName name="IQ_EST_NI_SBC_GW_DIFF">"c4476"</definedName>
    <definedName name="IQ_EST_NI_SBC_GW_DIFF_CIQ">"c5014"</definedName>
    <definedName name="IQ_EST_NI_SBC_GW_SURPRISE_PERCENT">"c4485"</definedName>
    <definedName name="IQ_EST_NI_SBC_GW_SURPRISE_PERCENT_CIQ">"c5023"</definedName>
    <definedName name="IQ_EST_NI_SBC_SURPRISE_PERCENT">"c4491"</definedName>
    <definedName name="IQ_EST_NI_SBC_SURPRISE_PERCENT_CIQ">"c5029"</definedName>
    <definedName name="IQ_EST_NI_SURPRISE_PERCENT">"c1886"</definedName>
    <definedName name="IQ_EST_NI_SURPRISE_PERCENT_CIQ">"c4756"</definedName>
    <definedName name="IQ_EST_NUM_BUY">"c1759"</definedName>
    <definedName name="IQ_EST_NUM_HIGH_REC">"c5649"</definedName>
    <definedName name="IQ_EST_NUM_HIGH_REC_CIQ">"c3701"</definedName>
    <definedName name="IQ_EST_NUM_HIGHEST_REC">"c5648"</definedName>
    <definedName name="IQ_EST_NUM_HIGHEST_REC_CIQ">"c3700"</definedName>
    <definedName name="IQ_EST_NUM_HOLD">"c1761"</definedName>
    <definedName name="IQ_EST_NUM_LOW_REC">"c5651"</definedName>
    <definedName name="IQ_EST_NUM_LOW_REC_CIQ">"c3703"</definedName>
    <definedName name="IQ_EST_NUM_LOWEST_REC">"c5652"</definedName>
    <definedName name="IQ_EST_NUM_LOWEST_REC_CIQ">"c3704"</definedName>
    <definedName name="IQ_EST_NUM_NEUTRAL_REC">"c5650"</definedName>
    <definedName name="IQ_EST_NUM_NEUTRAL_REC_CIQ">"c3702"</definedName>
    <definedName name="IQ_EST_NUM_NO_OPINION">"c1758"</definedName>
    <definedName name="IQ_EST_NUM_NO_OPINION_CIQ">"c3699"</definedName>
    <definedName name="IQ_EST_NUM_OUTPERFORM">"c1760"</definedName>
    <definedName name="IQ_EST_NUM_SELL">"c1763"</definedName>
    <definedName name="IQ_EST_NUM_UNDERPERFORM">"c1762"</definedName>
    <definedName name="IQ_EST_OPER_INC_DIFF">"c1877"</definedName>
    <definedName name="IQ_EST_OPER_INC_DIFF_CIQ">"c12017"</definedName>
    <definedName name="IQ_EST_OPER_INC_SURPRISE_PERCENT">"c1878"</definedName>
    <definedName name="IQ_EST_OPER_INC_SURPRISE_PERCENT_CIQ">"c12018"</definedName>
    <definedName name="IQ_EST_PRE_TAX_DIFF">"c1879"</definedName>
    <definedName name="IQ_EST_PRE_TAX_DIFF_CIQ">"c4749"</definedName>
    <definedName name="IQ_EST_PRE_TAX_GW_DIFF">"c1881"</definedName>
    <definedName name="IQ_EST_PRE_TAX_GW_DIFF_CIQ">"c4751"</definedName>
    <definedName name="IQ_EST_PRE_TAX_GW_SURPRISE_PERCENT">"c1882"</definedName>
    <definedName name="IQ_EST_PRE_TAX_GW_SURPRISE_PERCENT_CIQ">"c4752"</definedName>
    <definedName name="IQ_EST_PRE_TAX_REPORT_DIFF">"c1883"</definedName>
    <definedName name="IQ_EST_PRE_TAX_REPORT_DIFF_CIQ">"c4753"</definedName>
    <definedName name="IQ_EST_PRE_TAX_REPORT_SURPRISE_PERCENT">"c1884"</definedName>
    <definedName name="IQ_EST_PRE_TAX_REPORT_SURPRISE_PERCENT_CIQ">"c4754"</definedName>
    <definedName name="IQ_EST_PRE_TAX_SURPRISE_PERCENT">"c1880"</definedName>
    <definedName name="IQ_EST_PRE_TAX_SURPRISE_PERCENT_CIQ">"c4750"</definedName>
    <definedName name="IQ_EST_RECURRING_PROFIT_SHARE_DIFF">"c4505"</definedName>
    <definedName name="IQ_EST_RECURRING_PROFIT_SHARE_DIFF_CIQ">"c5043"</definedName>
    <definedName name="IQ_EST_RECURRING_PROFIT_SHARE_SURPRISE_PERCENT">"c4515"</definedName>
    <definedName name="IQ_EST_RECURRING_PROFIT_SHARE_SURPRISE_PERCENT_CIQ">"c5053"</definedName>
    <definedName name="IQ_EST_REV_DIFF">"c1865"</definedName>
    <definedName name="IQ_EST_REV_DIFF_CIQ">"c3717"</definedName>
    <definedName name="IQ_EST_REV_GROWTH_1YR">"c1638"</definedName>
    <definedName name="IQ_EST_REV_GROWTH_1YR_CIQ">"c3691"</definedName>
    <definedName name="IQ_EST_REV_GROWTH_2YR">"c1639"</definedName>
    <definedName name="IQ_EST_REV_GROWTH_2YR_CIQ">"c3692"</definedName>
    <definedName name="IQ_EST_REV_GROWTH_Q_1YR">"c1640"</definedName>
    <definedName name="IQ_EST_REV_GROWTH_Q_1YR_CIQ">"c3693"</definedName>
    <definedName name="IQ_EST_REV_SEQ_GROWTH_Q">"c1765"</definedName>
    <definedName name="IQ_EST_REV_SEQ_GROWTH_Q_CIQ">"c3694"</definedName>
    <definedName name="IQ_EST_REV_SURPRISE_PERCENT">"c1866"</definedName>
    <definedName name="IQ_EST_REV_SURPRISE_PERCENT_CIQ">"c3718"</definedName>
    <definedName name="IQ_EST_VENDOR">"c5564"</definedName>
    <definedName name="IQ_ESTIMATED_ASSESSABLE_DEPOSITS_FDIC">"c6490"</definedName>
    <definedName name="IQ_ESTIMATED_INSURED_DEPOSITS_FDIC">"c6491"</definedName>
    <definedName name="IQ_EV_OVER_EMPLOYEE">"c1428"</definedName>
    <definedName name="IQ_EV_OVER_LTM_EBIT">"c1426"</definedName>
    <definedName name="IQ_EV_OVER_LTM_EBITDA">"c1427"</definedName>
    <definedName name="IQ_EV_OVER_LTM_REVENUE">"c1429"</definedName>
    <definedName name="IQ_EVAL_DATE">"c2180"</definedName>
    <definedName name="IQ_EVENT_DATE">"c13819"</definedName>
    <definedName name="IQ_EVENT_ID">"c13818"</definedName>
    <definedName name="IQ_EVENT_TIME">"c13820"</definedName>
    <definedName name="IQ_EVENT_TYPE">"c13821"</definedName>
    <definedName name="IQ_EXCHANGE">"c405"</definedName>
    <definedName name="IQ_EXCISE_TAXES_EXCL_SALES">"c5515"</definedName>
    <definedName name="IQ_EXCISE_TAXES_INCL_SALES">"c5514"</definedName>
    <definedName name="IQ_EXERCISE_PRICE">"c1897"</definedName>
    <definedName name="IQ_EXERCISED">"c406"</definedName>
    <definedName name="IQ_EXP_RETURN_PENSION_DOMESTIC">"c407"</definedName>
    <definedName name="IQ_EXP_RETURN_PENSION_FOREIGN">"c408"</definedName>
    <definedName name="IQ_EXPENSES_AP">"c8875"</definedName>
    <definedName name="IQ_EXPENSES_AP_ABS">"c8894"</definedName>
    <definedName name="IQ_EXPENSES_FIXED_ASSETS_FFIEC">"c13024"</definedName>
    <definedName name="IQ_EXPENSES_NAME_AP">"c8913"</definedName>
    <definedName name="IQ_EXPENSES_NAME_AP_ABS">"c8932"</definedName>
    <definedName name="IQ_EXPLORATION_EXPENDITURE_ALUM">"c9255"</definedName>
    <definedName name="IQ_EXPLORATION_EXPENDITURE_COAL">"c9827"</definedName>
    <definedName name="IQ_EXPLORATION_EXPENDITURE_COP">"c9202"</definedName>
    <definedName name="IQ_EXPLORATION_EXPENDITURE_DIAM">"c9679"</definedName>
    <definedName name="IQ_EXPLORATION_EXPENDITURE_GOLD">"c9040"</definedName>
    <definedName name="IQ_EXPLORATION_EXPENDITURE_IRON">"c9414"</definedName>
    <definedName name="IQ_EXPLORATION_EXPENDITURE_LEAD">"c9467"</definedName>
    <definedName name="IQ_EXPLORATION_EXPENDITURE_MANG">"c9520"</definedName>
    <definedName name="IQ_EXPLORATION_EXPENDITURE_MOLYB">"c9732"</definedName>
    <definedName name="IQ_EXPLORATION_EXPENDITURE_NICK">"c9308"</definedName>
    <definedName name="IQ_EXPLORATION_EXPENDITURE_PLAT">"c9146"</definedName>
    <definedName name="IQ_EXPLORATION_EXPENDITURE_SILVER">"c9093"</definedName>
    <definedName name="IQ_EXPLORATION_EXPENDITURE_TITAN">"c9573"</definedName>
    <definedName name="IQ_EXPLORATION_EXPENDITURE_URAN">"c9626"</definedName>
    <definedName name="IQ_EXPLORATION_EXPENDITURE_ZINC">"c9361"</definedName>
    <definedName name="IQ_EXPLORE_DRILL">"c409"</definedName>
    <definedName name="IQ_EXPLORE_DRILL_EXP_TOTAL">"c13850"</definedName>
    <definedName name="IQ_EXPORT_PRICE_INDEX">"c6860"</definedName>
    <definedName name="IQ_EXPORT_PRICE_INDEX_APR">"c7520"</definedName>
    <definedName name="IQ_EXPORT_PRICE_INDEX_APR_FC">"c8400"</definedName>
    <definedName name="IQ_EXPORT_PRICE_INDEX_FC">"c7740"</definedName>
    <definedName name="IQ_EXPORT_PRICE_INDEX_POP">"c7080"</definedName>
    <definedName name="IQ_EXPORT_PRICE_INDEX_POP_FC">"c7960"</definedName>
    <definedName name="IQ_EXPORT_PRICE_INDEX_YOY">"c7300"</definedName>
    <definedName name="IQ_EXPORT_PRICE_INDEX_YOY_FC">"c8180"</definedName>
    <definedName name="IQ_EXPORTS_APR_FC_UNUSED">"c8401"</definedName>
    <definedName name="IQ_EXPORTS_APR_FC_UNUSED_UNUSED_UNUSED">"c8401"</definedName>
    <definedName name="IQ_EXPORTS_APR_UNUSED">"c7521"</definedName>
    <definedName name="IQ_EXPORTS_APR_UNUSED_UNUSED_UNUSED">"c7521"</definedName>
    <definedName name="IQ_EXPORTS_FACTOR_SERVICES">"c6862"</definedName>
    <definedName name="IQ_EXPORTS_FACTOR_SERVICES_APR">"c7522"</definedName>
    <definedName name="IQ_EXPORTS_FACTOR_SERVICES_APR_FC">"c8402"</definedName>
    <definedName name="IQ_EXPORTS_FACTOR_SERVICES_FC">"c7742"</definedName>
    <definedName name="IQ_EXPORTS_FACTOR_SERVICES_POP">"c7082"</definedName>
    <definedName name="IQ_EXPORTS_FACTOR_SERVICES_POP_FC">"c7962"</definedName>
    <definedName name="IQ_EXPORTS_FACTOR_SERVICES_SAAR">"c6863"</definedName>
    <definedName name="IQ_EXPORTS_FACTOR_SERVICES_SAAR_APR">"c7523"</definedName>
    <definedName name="IQ_EXPORTS_FACTOR_SERVICES_SAAR_APR_FC">"c8403"</definedName>
    <definedName name="IQ_EXPORTS_FACTOR_SERVICES_SAAR_FC">"c7743"</definedName>
    <definedName name="IQ_EXPORTS_FACTOR_SERVICES_SAAR_POP">"c7083"</definedName>
    <definedName name="IQ_EXPORTS_FACTOR_SERVICES_SAAR_POP_FC">"c7963"</definedName>
    <definedName name="IQ_EXPORTS_FACTOR_SERVICES_SAAR_USD_APR_FC">"c11817"</definedName>
    <definedName name="IQ_EXPORTS_FACTOR_SERVICES_SAAR_USD_FC">"c11814"</definedName>
    <definedName name="IQ_EXPORTS_FACTOR_SERVICES_SAAR_USD_POP_FC">"c11815"</definedName>
    <definedName name="IQ_EXPORTS_FACTOR_SERVICES_SAAR_USD_YOY_FC">"c11816"</definedName>
    <definedName name="IQ_EXPORTS_FACTOR_SERVICES_SAAR_YOY">"c7303"</definedName>
    <definedName name="IQ_EXPORTS_FACTOR_SERVICES_SAAR_YOY_FC">"c8183"</definedName>
    <definedName name="IQ_EXPORTS_FACTOR_SERVICES_USD_APR_FC">"c11813"</definedName>
    <definedName name="IQ_EXPORTS_FACTOR_SERVICES_USD_FC">"c11810"</definedName>
    <definedName name="IQ_EXPORTS_FACTOR_SERVICES_USD_POP_FC">"c11811"</definedName>
    <definedName name="IQ_EXPORTS_FACTOR_SERVICES_USD_YOY_FC">"c11812"</definedName>
    <definedName name="IQ_EXPORTS_FACTOR_SERVICES_YOY">"c7302"</definedName>
    <definedName name="IQ_EXPORTS_FACTOR_SERVICES_YOY_FC">"c8182"</definedName>
    <definedName name="IQ_EXPORTS_FC_UNUSED">"c7741"</definedName>
    <definedName name="IQ_EXPORTS_FC_UNUSED_UNUSED_UNUSED">"c7741"</definedName>
    <definedName name="IQ_EXPORTS_GOODS">"c6864"</definedName>
    <definedName name="IQ_EXPORTS_GOODS_APR">"c7524"</definedName>
    <definedName name="IQ_EXPORTS_GOODS_APR_FC">"c8404"</definedName>
    <definedName name="IQ_EXPORTS_GOODS_FC">"c7744"</definedName>
    <definedName name="IQ_EXPORTS_GOODS_NONFACTOR_SERVICES">"c6865"</definedName>
    <definedName name="IQ_EXPORTS_GOODS_NONFACTOR_SERVICES_APR">"c7525"</definedName>
    <definedName name="IQ_EXPORTS_GOODS_NONFACTOR_SERVICES_APR_FC">"c8405"</definedName>
    <definedName name="IQ_EXPORTS_GOODS_NONFACTOR_SERVICES_FC">"c7745"</definedName>
    <definedName name="IQ_EXPORTS_GOODS_NONFACTOR_SERVICES_POP">"c7085"</definedName>
    <definedName name="IQ_EXPORTS_GOODS_NONFACTOR_SERVICES_POP_FC">"c7965"</definedName>
    <definedName name="IQ_EXPORTS_GOODS_NONFACTOR_SERVICES_YOY">"c7305"</definedName>
    <definedName name="IQ_EXPORTS_GOODS_NONFACTOR_SERVICES_YOY_FC">"c8185"</definedName>
    <definedName name="IQ_EXPORTS_GOODS_POP">"c7084"</definedName>
    <definedName name="IQ_EXPORTS_GOODS_POP_FC">"c7964"</definedName>
    <definedName name="IQ_EXPORTS_GOODS_REAL">"c6973"</definedName>
    <definedName name="IQ_EXPORTS_GOODS_REAL_APR">"c7633"</definedName>
    <definedName name="IQ_EXPORTS_GOODS_REAL_APR_FC">"c8513"</definedName>
    <definedName name="IQ_EXPORTS_GOODS_REAL_FC">"c7853"</definedName>
    <definedName name="IQ_EXPORTS_GOODS_REAL_POP">"c7193"</definedName>
    <definedName name="IQ_EXPORTS_GOODS_REAL_POP_FC">"c8073"</definedName>
    <definedName name="IQ_EXPORTS_GOODS_REAL_SAAR">"c11930"</definedName>
    <definedName name="IQ_EXPORTS_GOODS_REAL_SAAR_APR">"c11933"</definedName>
    <definedName name="IQ_EXPORTS_GOODS_REAL_SAAR_APR_FC_UNUSED">"c8512"</definedName>
    <definedName name="IQ_EXPORTS_GOODS_REAL_SAAR_APR_FC_UNUSED_UNUSED_UNUSED">"c8512"</definedName>
    <definedName name="IQ_EXPORTS_GOODS_REAL_SAAR_APR_UNUSED">"c7632"</definedName>
    <definedName name="IQ_EXPORTS_GOODS_REAL_SAAR_APR_UNUSED_UNUSED_UNUSED">"c7632"</definedName>
    <definedName name="IQ_EXPORTS_GOODS_REAL_SAAR_FC_UNUSED">"c7852"</definedName>
    <definedName name="IQ_EXPORTS_GOODS_REAL_SAAR_FC_UNUSED_UNUSED_UNUSED">"c7852"</definedName>
    <definedName name="IQ_EXPORTS_GOODS_REAL_SAAR_POP">"c11931"</definedName>
    <definedName name="IQ_EXPORTS_GOODS_REAL_SAAR_POP_FC_UNUSED">"c8072"</definedName>
    <definedName name="IQ_EXPORTS_GOODS_REAL_SAAR_POP_FC_UNUSED_UNUSED_UNUSED">"c8072"</definedName>
    <definedName name="IQ_EXPORTS_GOODS_REAL_SAAR_POP_UNUSED">"c7192"</definedName>
    <definedName name="IQ_EXPORTS_GOODS_REAL_SAAR_POP_UNUSED_UNUSED_UNUSED">"c7192"</definedName>
    <definedName name="IQ_EXPORTS_GOODS_REAL_SAAR_UNUSED">"c6972"</definedName>
    <definedName name="IQ_EXPORTS_GOODS_REAL_SAAR_UNUSED_UNUSED_UNUSED">"c6972"</definedName>
    <definedName name="IQ_EXPORTS_GOODS_REAL_SAAR_YOY">"c11932"</definedName>
    <definedName name="IQ_EXPORTS_GOODS_REAL_SAAR_YOY_FC_UNUSED">"c8292"</definedName>
    <definedName name="IQ_EXPORTS_GOODS_REAL_SAAR_YOY_FC_UNUSED_UNUSED_UNUSED">"c8292"</definedName>
    <definedName name="IQ_EXPORTS_GOODS_REAL_SAAR_YOY_UNUSED">"c7412"</definedName>
    <definedName name="IQ_EXPORTS_GOODS_REAL_SAAR_YOY_UNUSED_UNUSED_UNUSED">"c7412"</definedName>
    <definedName name="IQ_EXPORTS_GOODS_REAL_YOY">"c7413"</definedName>
    <definedName name="IQ_EXPORTS_GOODS_REAL_YOY_FC">"c8293"</definedName>
    <definedName name="IQ_EXPORTS_GOODS_SERVICES">"c6866"</definedName>
    <definedName name="IQ_EXPORTS_GOODS_SERVICES_APR">"c7526"</definedName>
    <definedName name="IQ_EXPORTS_GOODS_SERVICES_APR_FC">"c8406"</definedName>
    <definedName name="IQ_EXPORTS_GOODS_SERVICES_FC">"c7746"</definedName>
    <definedName name="IQ_EXPORTS_GOODS_SERVICES_POP">"c7086"</definedName>
    <definedName name="IQ_EXPORTS_GOODS_SERVICES_POP_FC">"c7966"</definedName>
    <definedName name="IQ_EXPORTS_GOODS_SERVICES_REAL">"c6974"</definedName>
    <definedName name="IQ_EXPORTS_GOODS_SERVICES_REAL_APR">"c7634"</definedName>
    <definedName name="IQ_EXPORTS_GOODS_SERVICES_REAL_APR_FC">"c8514"</definedName>
    <definedName name="IQ_EXPORTS_GOODS_SERVICES_REAL_FC">"c7854"</definedName>
    <definedName name="IQ_EXPORTS_GOODS_SERVICES_REAL_POP">"c7194"</definedName>
    <definedName name="IQ_EXPORTS_GOODS_SERVICES_REAL_POP_FC">"c8074"</definedName>
    <definedName name="IQ_EXPORTS_GOODS_SERVICES_REAL_SAAR">"c6975"</definedName>
    <definedName name="IQ_EXPORTS_GOODS_SERVICES_REAL_SAAR_APR">"c7635"</definedName>
    <definedName name="IQ_EXPORTS_GOODS_SERVICES_REAL_SAAR_APR_FC">"c8515"</definedName>
    <definedName name="IQ_EXPORTS_GOODS_SERVICES_REAL_SAAR_FC">"c7855"</definedName>
    <definedName name="IQ_EXPORTS_GOODS_SERVICES_REAL_SAAR_POP">"c7195"</definedName>
    <definedName name="IQ_EXPORTS_GOODS_SERVICES_REAL_SAAR_POP_FC">"c8075"</definedName>
    <definedName name="IQ_EXPORTS_GOODS_SERVICES_REAL_SAAR_YOY">"c7415"</definedName>
    <definedName name="IQ_EXPORTS_GOODS_SERVICES_REAL_SAAR_YOY_FC">"c8295"</definedName>
    <definedName name="IQ_EXPORTS_GOODS_SERVICES_REAL_USD">"c11926"</definedName>
    <definedName name="IQ_EXPORTS_GOODS_SERVICES_REAL_USD_APR">"c11929"</definedName>
    <definedName name="IQ_EXPORTS_GOODS_SERVICES_REAL_USD_POP">"c11927"</definedName>
    <definedName name="IQ_EXPORTS_GOODS_SERVICES_REAL_USD_YOY">"c11928"</definedName>
    <definedName name="IQ_EXPORTS_GOODS_SERVICES_REAL_YOY">"c7414"</definedName>
    <definedName name="IQ_EXPORTS_GOODS_SERVICES_REAL_YOY_FC">"c8294"</definedName>
    <definedName name="IQ_EXPORTS_GOODS_SERVICES_SAAR">"c6867"</definedName>
    <definedName name="IQ_EXPORTS_GOODS_SERVICES_SAAR_APR">"c7527"</definedName>
    <definedName name="IQ_EXPORTS_GOODS_SERVICES_SAAR_APR_FC">"c8407"</definedName>
    <definedName name="IQ_EXPORTS_GOODS_SERVICES_SAAR_FC">"c7747"</definedName>
    <definedName name="IQ_EXPORTS_GOODS_SERVICES_SAAR_POP">"c7087"</definedName>
    <definedName name="IQ_EXPORTS_GOODS_SERVICES_SAAR_POP_FC">"c7967"</definedName>
    <definedName name="IQ_EXPORTS_GOODS_SERVICES_SAAR_YOY">"c7307"</definedName>
    <definedName name="IQ_EXPORTS_GOODS_SERVICES_SAAR_YOY_FC">"c8187"</definedName>
    <definedName name="IQ_EXPORTS_GOODS_SERVICES_USD">"c11822"</definedName>
    <definedName name="IQ_EXPORTS_GOODS_SERVICES_USD_APR">"c11825"</definedName>
    <definedName name="IQ_EXPORTS_GOODS_SERVICES_USD_POP">"c11823"</definedName>
    <definedName name="IQ_EXPORTS_GOODS_SERVICES_USD_YOY">"c11824"</definedName>
    <definedName name="IQ_EXPORTS_GOODS_SERVICES_YOY">"c7306"</definedName>
    <definedName name="IQ_EXPORTS_GOODS_SERVICES_YOY_FC">"c8186"</definedName>
    <definedName name="IQ_EXPORTS_GOODS_USD">"c11818"</definedName>
    <definedName name="IQ_EXPORTS_GOODS_USD_APR">"c11821"</definedName>
    <definedName name="IQ_EXPORTS_GOODS_USD_POP">"c11819"</definedName>
    <definedName name="IQ_EXPORTS_GOODS_USD_YOY">"c11820"</definedName>
    <definedName name="IQ_EXPORTS_GOODS_YOY">"c7304"</definedName>
    <definedName name="IQ_EXPORTS_GOODS_YOY_FC">"c8184"</definedName>
    <definedName name="IQ_EXPORTS_NONFACTOR_SERVICES">"c6868"</definedName>
    <definedName name="IQ_EXPORTS_NONFACTOR_SERVICES_APR">"c7528"</definedName>
    <definedName name="IQ_EXPORTS_NONFACTOR_SERVICES_APR_FC">"c8408"</definedName>
    <definedName name="IQ_EXPORTS_NONFACTOR_SERVICES_FC">"c7748"</definedName>
    <definedName name="IQ_EXPORTS_NONFACTOR_SERVICES_POP">"c7088"</definedName>
    <definedName name="IQ_EXPORTS_NONFACTOR_SERVICES_POP_FC">"c7968"</definedName>
    <definedName name="IQ_EXPORTS_NONFACTOR_SERVICES_YOY">"c7308"</definedName>
    <definedName name="IQ_EXPORTS_NONFACTOR_SERVICES_YOY_FC">"c8188"</definedName>
    <definedName name="IQ_EXPORTS_POP_FC_UNUSED">"c7961"</definedName>
    <definedName name="IQ_EXPORTS_POP_FC_UNUSED_UNUSED_UNUSED">"c7961"</definedName>
    <definedName name="IQ_EXPORTS_POP_UNUSED">"c7081"</definedName>
    <definedName name="IQ_EXPORTS_POP_UNUSED_UNUSED_UNUSED">"c7081"</definedName>
    <definedName name="IQ_EXPORTS_SERVICES_REAL">"c6977"</definedName>
    <definedName name="IQ_EXPORTS_SERVICES_REAL_APR">"c7637"</definedName>
    <definedName name="IQ_EXPORTS_SERVICES_REAL_APR_FC">"c8517"</definedName>
    <definedName name="IQ_EXPORTS_SERVICES_REAL_FC">"c7857"</definedName>
    <definedName name="IQ_EXPORTS_SERVICES_REAL_POP">"c7197"</definedName>
    <definedName name="IQ_EXPORTS_SERVICES_REAL_POP_FC">"c8077"</definedName>
    <definedName name="IQ_EXPORTS_SERVICES_REAL_SAAR">"c11934"</definedName>
    <definedName name="IQ_EXPORTS_SERVICES_REAL_SAAR_APR">"c11937"</definedName>
    <definedName name="IQ_EXPORTS_SERVICES_REAL_SAAR_APR_FC_UNUSED">"c8516"</definedName>
    <definedName name="IQ_EXPORTS_SERVICES_REAL_SAAR_APR_FC_UNUSED_UNUSED_UNUSED">"c8516"</definedName>
    <definedName name="IQ_EXPORTS_SERVICES_REAL_SAAR_APR_UNUSED">"c7636"</definedName>
    <definedName name="IQ_EXPORTS_SERVICES_REAL_SAAR_APR_UNUSED_UNUSED_UNUSED">"c7636"</definedName>
    <definedName name="IQ_EXPORTS_SERVICES_REAL_SAAR_FC_UNUSED">"c7856"</definedName>
    <definedName name="IQ_EXPORTS_SERVICES_REAL_SAAR_FC_UNUSED_UNUSED_UNUSED">"c7856"</definedName>
    <definedName name="IQ_EXPORTS_SERVICES_REAL_SAAR_POP">"c11935"</definedName>
    <definedName name="IQ_EXPORTS_SERVICES_REAL_SAAR_POP_FC_UNUSED">"c8076"</definedName>
    <definedName name="IQ_EXPORTS_SERVICES_REAL_SAAR_POP_FC_UNUSED_UNUSED_UNUSED">"c8076"</definedName>
    <definedName name="IQ_EXPORTS_SERVICES_REAL_SAAR_POP_UNUSED">"c7196"</definedName>
    <definedName name="IQ_EXPORTS_SERVICES_REAL_SAAR_POP_UNUSED_UNUSED_UNUSED">"c7196"</definedName>
    <definedName name="IQ_EXPORTS_SERVICES_REAL_SAAR_UNUSED">"c6976"</definedName>
    <definedName name="IQ_EXPORTS_SERVICES_REAL_SAAR_UNUSED_UNUSED_UNUSED">"c6976"</definedName>
    <definedName name="IQ_EXPORTS_SERVICES_REAL_SAAR_YOY">"c11936"</definedName>
    <definedName name="IQ_EXPORTS_SERVICES_REAL_SAAR_YOY_FC_UNUSED">"c8296"</definedName>
    <definedName name="IQ_EXPORTS_SERVICES_REAL_SAAR_YOY_FC_UNUSED_UNUSED_UNUSED">"c8296"</definedName>
    <definedName name="IQ_EXPORTS_SERVICES_REAL_SAAR_YOY_UNUSED">"c7416"</definedName>
    <definedName name="IQ_EXPORTS_SERVICES_REAL_SAAR_YOY_UNUSED_UNUSED_UNUSED">"c7416"</definedName>
    <definedName name="IQ_EXPORTS_SERVICES_REAL_YOY">"c7417"</definedName>
    <definedName name="IQ_EXPORTS_SERVICES_REAL_YOY_FC">"c8297"</definedName>
    <definedName name="IQ_EXPORTS_UNUSED">"c6861"</definedName>
    <definedName name="IQ_EXPORTS_UNUSED_UNUSED_UNUSED">"c6861"</definedName>
    <definedName name="IQ_EXPORTS_USD">"c11806"</definedName>
    <definedName name="IQ_EXPORTS_USD_APR">"c11809"</definedName>
    <definedName name="IQ_EXPORTS_USD_POP">"c11807"</definedName>
    <definedName name="IQ_EXPORTS_USD_YOY">"c11808"</definedName>
    <definedName name="IQ_EXPORTS_YOY_FC_UNUSED">"c8181"</definedName>
    <definedName name="IQ_EXPORTS_YOY_FC_UNUSED_UNUSED_UNUSED">"c8181"</definedName>
    <definedName name="IQ_EXPORTS_YOY_UNUSED">"c7301"</definedName>
    <definedName name="IQ_EXPORTS_YOY_UNUSED_UNUSED_UNUSED">"c7301"</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"c6216"</definedName>
    <definedName name="IQ_EXTRA_ACC_ITEMS_REIT">"c415"</definedName>
    <definedName name="IQ_EXTRA_ACC_ITEMS_UTI">"c416"</definedName>
    <definedName name="IQ_EXTRA_AVG_ASSETS_FFIEC">"c13369"</definedName>
    <definedName name="IQ_EXTRA_ITEMS">"c1459"</definedName>
    <definedName name="IQ_EXTRA_ITEMS_OTHER_ADJUSTMENTS_FOREIGN_FFIEC">"c15392"</definedName>
    <definedName name="IQ_EXTRAORDINARY_GAINS_FDIC">"c6586"</definedName>
    <definedName name="IQ_EXTRAORDINARY_ITEMS_FFIEC">"c13033"</definedName>
    <definedName name="IQ_FAD">"c8757"</definedName>
    <definedName name="IQ_FAD_PAYOUT_RATIO">"c8872"</definedName>
    <definedName name="IQ_FAIR_VALUE_CHANGE_INCL_EARNINGS">"c13849"</definedName>
    <definedName name="IQ_FAIR_VALUE_FDIC">"c6427"</definedName>
    <definedName name="IQ_FARM_LOANS_NET_FDIC">"c6316"</definedName>
    <definedName name="IQ_FARM_LOANS_TOT_LOANS_FFIEC">"c13870"</definedName>
    <definedName name="IQ_FARM_LOANS_TOTAL_LOANS_FOREIGN_FDIC">"c6450"</definedName>
    <definedName name="IQ_FARMLAND_DOM_FFIEC">"c15268"</definedName>
    <definedName name="IQ_FARMLAND_LOANS_FDIC">"c6314"</definedName>
    <definedName name="IQ_FDIC">"c417"</definedName>
    <definedName name="IQ_FDIC_DEPOSIT_INSURANCE_FFIEC">"c13053"</definedName>
    <definedName name="IQ_FED_BUDGET_RECEIPTS">"c6869"</definedName>
    <definedName name="IQ_FED_BUDGET_RECEIPTS_APR">"c7529"</definedName>
    <definedName name="IQ_FED_BUDGET_RECEIPTS_APR_FC">"c8409"</definedName>
    <definedName name="IQ_FED_BUDGET_RECEIPTS_FC">"c7749"</definedName>
    <definedName name="IQ_FED_BUDGET_RECEIPTS_POP">"c7089"</definedName>
    <definedName name="IQ_FED_BUDGET_RECEIPTS_POP_FC">"c7969"</definedName>
    <definedName name="IQ_FED_BUDGET_RECEIPTS_YOY">"c7309"</definedName>
    <definedName name="IQ_FED_BUDGET_RECEIPTS_YOY_FC">"c8189"</definedName>
    <definedName name="IQ_FED_FUND_PURCHASED_SEC_SOLD_REPURCHASE_FFIEC">"c15489"</definedName>
    <definedName name="IQ_FED_FUND_SOLD_SEC_PURCHASED_RESELL_FFIEC">"c15488"</definedName>
    <definedName name="IQ_FED_FUNDS_PURCH_SEC_SOLD_FAIR_VALUE_TOT_FFIEC">"c15406"</definedName>
    <definedName name="IQ_FED_FUNDS_PURCH_SEC_SOLD_LEVEL_1_FFIEC">"c15428"</definedName>
    <definedName name="IQ_FED_FUNDS_PURCH_SEC_SOLD_LEVEL_2_FFIEC">"c15441"</definedName>
    <definedName name="IQ_FED_FUNDS_PURCH_SEC_SOLD_LEVEL_3_FFIEC">"c15454"</definedName>
    <definedName name="IQ_FED_FUNDS_PURCHASED_DOM_FFIEC">"c12856"</definedName>
    <definedName name="IQ_FED_FUNDS_PURCHASED_FDIC">"c6343"</definedName>
    <definedName name="IQ_FED_FUNDS_PURCHASED_QUARTERLY_AVG_FFIEC">"c13090"</definedName>
    <definedName name="IQ_FED_FUNDS_SOLD_DOM_FFIEC">"c12806"</definedName>
    <definedName name="IQ_FED_FUNDS_SOLD_FDIC">"c6307"</definedName>
    <definedName name="IQ_FED_FUNDS_SOLD_QUARTERLY_AVG_FFIEC">"c13080"</definedName>
    <definedName name="IQ_FED_FUNDS_SOLD_SEC_PURCH_FAIR_VALUE_TOT_FFIEC">"c15402"</definedName>
    <definedName name="IQ_FED_FUNDS_SOLD_SEC_PURCH_LEVEL_1_FFIEC">"c15424"</definedName>
    <definedName name="IQ_FED_FUNDS_SOLD_SEC_PURCH_LEVEL_2_FFIEC">"c15437"</definedName>
    <definedName name="IQ_FED_FUNDS_SOLD_SEC_PURCH_LEVEL_3_FFIEC">"c15450"</definedName>
    <definedName name="IQ_FEDFUNDS_SOLD">"c2256"</definedName>
    <definedName name="IQ_FEES_COMMISSIONS_BROKERAGE_FFIEC">"c13005"</definedName>
    <definedName name="IQ_FEES_OTHER_INCOME">"c15257"</definedName>
    <definedName name="IQ_FFO">"c1574"</definedName>
    <definedName name="IQ_FFO_ACT_OR_EST">"c4446"</definedName>
    <definedName name="IQ_FFO_ADJ_ACT_OR_EST">"c4435"</definedName>
    <definedName name="IQ_FFO_ADJ_ACT_OR_EST_CIQ">"c4960"</definedName>
    <definedName name="IQ_FFO_ADJ_EST">"c4434"</definedName>
    <definedName name="IQ_FFO_ADJ_EST_CIQ">"c4959"</definedName>
    <definedName name="IQ_FFO_ADJ_GUIDANCE">"c4436"</definedName>
    <definedName name="IQ_FFO_ADJ_HIGH_EST">"c4437"</definedName>
    <definedName name="IQ_FFO_ADJ_HIGH_EST_CIQ">"c4962"</definedName>
    <definedName name="IQ_FFO_ADJ_HIGH_GUIDANCE">"c4202"</definedName>
    <definedName name="IQ_FFO_ADJ_LOW_EST">"c4438"</definedName>
    <definedName name="IQ_FFO_ADJ_LOW_EST_CIQ">"c4963"</definedName>
    <definedName name="IQ_FFO_ADJ_LOW_GUIDANCE">"c4242"</definedName>
    <definedName name="IQ_FFO_ADJ_MEDIAN_EST">"c4439"</definedName>
    <definedName name="IQ_FFO_ADJ_MEDIAN_EST_CIQ">"c4964"</definedName>
    <definedName name="IQ_FFO_ADJ_NUM_EST">"c4440"</definedName>
    <definedName name="IQ_FFO_ADJ_NUM_EST_CIQ">"c4965"</definedName>
    <definedName name="IQ_FFO_ADJ_STDDEV_EST">"c4441"</definedName>
    <definedName name="IQ_FFO_ADJ_STDDEV_EST_CIQ">"c4966"</definedName>
    <definedName name="IQ_FFO_EST">"c4445"</definedName>
    <definedName name="IQ_FFO_EST_CIQ">"c4970"</definedName>
    <definedName name="IQ_FFO_EST_DET_EST">"c12059"</definedName>
    <definedName name="IQ_FFO_EST_DET_EST_CURRENCY">"c12466"</definedName>
    <definedName name="IQ_FFO_EST_DET_EST_CURRENCY_THOM">"c12487"</definedName>
    <definedName name="IQ_FFO_EST_DET_EST_DATE">"c12212"</definedName>
    <definedName name="IQ_FFO_EST_DET_EST_DATE_THOM">"c12238"</definedName>
    <definedName name="IQ_FFO_EST_DET_EST_INCL">"c12349"</definedName>
    <definedName name="IQ_FFO_EST_DET_EST_INCL_THOM">"c12370"</definedName>
    <definedName name="IQ_FFO_EST_DET_EST_ORIGIN">"c12722"</definedName>
    <definedName name="IQ_FFO_EST_DET_EST_ORIGIN_THOM">"c12608"</definedName>
    <definedName name="IQ_FFO_EST_DET_EST_THOM">"c12088"</definedName>
    <definedName name="IQ_FFO_EST_THOM">"c3999"</definedName>
    <definedName name="IQ_FFO_GUIDANCE">"c4443"</definedName>
    <definedName name="IQ_FFO_HIGH_EST">"c4448"</definedName>
    <definedName name="IQ_FFO_HIGH_EST_CIQ">"c4977"</definedName>
    <definedName name="IQ_FFO_HIGH_EST_THOM">"c4001"</definedName>
    <definedName name="IQ_FFO_HIGH_GUIDANCE">"c4184"</definedName>
    <definedName name="IQ_FFO_LOW_EST">"c4449"</definedName>
    <definedName name="IQ_FFO_LOW_EST_CIQ">"c4978"</definedName>
    <definedName name="IQ_FFO_LOW_EST_THOM">"c4002"</definedName>
    <definedName name="IQ_FFO_LOW_GUIDANCE">"c4224"</definedName>
    <definedName name="IQ_FFO_MEDIAN_EST">"c4450"</definedName>
    <definedName name="IQ_FFO_MEDIAN_EST_CIQ">"c4979"</definedName>
    <definedName name="IQ_FFO_MEDIAN_EST_THOM">"c4000"</definedName>
    <definedName name="IQ_FFO_NUM_EST">"c4451"</definedName>
    <definedName name="IQ_FFO_NUM_EST_CIQ">"c4980"</definedName>
    <definedName name="IQ_FFO_NUM_EST_THOM">"c4003"</definedName>
    <definedName name="IQ_FFO_PAYOUT_RATIO">"c3492"</definedName>
    <definedName name="IQ_FFO_PER_SHARE_BASIC">"c8867"</definedName>
    <definedName name="IQ_FFO_PER_SHARE_DILUTED">"c8868"</definedName>
    <definedName name="IQ_FFO_SHARE_ACT_OR_EST">"c2216"</definedName>
    <definedName name="IQ_FFO_SHARE_ACT_OR_EST_CIQ">"c4971"</definedName>
    <definedName name="IQ_FFO_SHARE_EST">"c418"</definedName>
    <definedName name="IQ_FFO_SHARE_EST_CIQ">"c3668"</definedName>
    <definedName name="IQ_FFO_SHARE_EST_DET_EST">"c12059"</definedName>
    <definedName name="IQ_FFO_SHARE_EST_DET_EST_CIQ">"c12121"</definedName>
    <definedName name="IQ_FFO_SHARE_EST_DET_EST_CURRENCY">"c12466"</definedName>
    <definedName name="IQ_FFO_SHARE_EST_DET_EST_CURRENCY_CIQ">"c12512"</definedName>
    <definedName name="IQ_FFO_SHARE_EST_DET_EST_DATE">"c12212"</definedName>
    <definedName name="IQ_FFO_SHARE_EST_DET_EST_DATE_CIQ">"c12267"</definedName>
    <definedName name="IQ_FFO_SHARE_EST_DET_EST_INCL">"c12349"</definedName>
    <definedName name="IQ_FFO_SHARE_EST_DET_EST_INCL_CIQ">"c12395"</definedName>
    <definedName name="IQ_FFO_SHARE_EST_DET_EST_ORIGIN">"c12722"</definedName>
    <definedName name="IQ_FFO_SHARE_EST_DET_EST_ORIGIN_CIQ">"c12720"</definedName>
    <definedName name="IQ_FFO_SHARE_GUIDANCE">"c4447"</definedName>
    <definedName name="IQ_FFO_SHARE_HIGH_EST">"c419"</definedName>
    <definedName name="IQ_FFO_SHARE_HIGH_EST_CIQ">"c3670"</definedName>
    <definedName name="IQ_FFO_SHARE_HIGH_GUIDANCE">"c4203"</definedName>
    <definedName name="IQ_FFO_SHARE_LOW_EST">"c420"</definedName>
    <definedName name="IQ_FFO_SHARE_LOW_EST_CIQ">"c3671"</definedName>
    <definedName name="IQ_FFO_SHARE_LOW_GUIDANCE">"c4243"</definedName>
    <definedName name="IQ_FFO_SHARE_MEDIAN_EST">"c1665"</definedName>
    <definedName name="IQ_FFO_SHARE_MEDIAN_EST_CIQ">"c3669"</definedName>
    <definedName name="IQ_FFO_SHARE_NUM_EST">"c421"</definedName>
    <definedName name="IQ_FFO_SHARE_NUM_EST_CIQ">"c3672"</definedName>
    <definedName name="IQ_FFO_SHARE_SHARE_EST_DET_EST">"c12059"</definedName>
    <definedName name="IQ_FFO_SHARE_SHARE_EST_DET_EST_CURRENCY">"c12466"</definedName>
    <definedName name="IQ_FFO_SHARE_SHARE_EST_DET_EST_CURRENCY_THOM">"c12487"</definedName>
    <definedName name="IQ_FFO_SHARE_SHARE_EST_DET_EST_DATE">"c12212"</definedName>
    <definedName name="IQ_FFO_SHARE_SHARE_EST_DET_EST_DATE_THOM">"c12238"</definedName>
    <definedName name="IQ_FFO_SHARE_SHARE_EST_DET_EST_INCL">"c12349"</definedName>
    <definedName name="IQ_FFO_SHARE_SHARE_EST_DET_EST_INCL_THOM">"c12370"</definedName>
    <definedName name="IQ_FFO_SHARE_SHARE_EST_DET_EST_ORIGIN">"c12722"</definedName>
    <definedName name="IQ_FFO_SHARE_SHARE_EST_DET_EST_ORIGIN_THOM">"c12608"</definedName>
    <definedName name="IQ_FFO_SHARE_SHARE_EST_DET_EST_THOM">"c12088"</definedName>
    <definedName name="IQ_FFO_SHARE_SHARE_EST_THOM">"c3999"</definedName>
    <definedName name="IQ_FFO_SHARE_SHARE_HIGH_EST_THOM">"c4001"</definedName>
    <definedName name="IQ_FFO_SHARE_SHARE_LOW_EST_THOM">"c4002"</definedName>
    <definedName name="IQ_FFO_SHARE_SHARE_MEDIAN_EST_THOM">"c4000"</definedName>
    <definedName name="IQ_FFO_SHARE_SHARE_NUM_EST_THOM">"c4003"</definedName>
    <definedName name="IQ_FFO_SHARE_SHARE_STDDEV_EST_THOM">"c4004"</definedName>
    <definedName name="IQ_FFO_SHARE_STDDEV_EST">"c422"</definedName>
    <definedName name="IQ_FFO_SHARE_STDDEV_EST_CIQ">"c3673"</definedName>
    <definedName name="IQ_FFO_STDDEV_EST">"c4452"</definedName>
    <definedName name="IQ_FFO_STDDEV_EST_CIQ">"c4981"</definedName>
    <definedName name="IQ_FFO_STDDEV_EST_THOM">"c4004"</definedName>
    <definedName name="IQ_FH">100000</definedName>
    <definedName name="IQ_FHLB_ADVANCES_FDIC">"c6366"</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DUCIARY_ACTIVITIES_FDIC">"c6571"</definedName>
    <definedName name="IQ_FIDUCIARY_INCOME_OPERATING_INC_FFIEC">"c13383"</definedName>
    <definedName name="IQ_FIFETEEN_YEAR_FIXED_AND_FLOATING_RATE_FDIC">"c6423"</definedName>
    <definedName name="IQ_FIFETEEN_YEAR_MORTGAGE_PASS_THROUGHS_FDIC">"c6415"</definedName>
    <definedName name="IQ_FILING_CURRENCY">"c2129"</definedName>
    <definedName name="IQ_FILING_CURRENCY_AP">"c11747"</definedName>
    <definedName name="IQ_FILINGDATE_BS">"c424"</definedName>
    <definedName name="IQ_FILINGDATE_CF">"c425"</definedName>
    <definedName name="IQ_FILINGDATE_IS">"c426"</definedName>
    <definedName name="IQ_FILM_RIGHTS">"c2254"</definedName>
    <definedName name="IQ_FIN_DATA_SOURCE">"c6788"</definedName>
    <definedName name="IQ_FIN_DIV_ASSETS_CURRENT">"c427"</definedName>
    <definedName name="IQ_FIN_DIV_ASSETS_LT">"c428"</definedName>
    <definedName name="IQ_FIN_DIV_CASH_EQUIV">"c6289"</definedName>
    <definedName name="IQ_FIN_DIV_CURRENT_PORT_DEBT_TOTAL">"c5524"</definedName>
    <definedName name="IQ_FIN_DIV_CURRENT_PORT_LEASES_TOTAL">"c5523"</definedName>
    <definedName name="IQ_FIN_DIV_DEBT_CURRENT">"c429"</definedName>
    <definedName name="IQ_FIN_DIV_DEBT_LT">"c430"</definedName>
    <definedName name="IQ_FIN_DIV_DEBT_LT_TOTAL">"c5526"</definedName>
    <definedName name="IQ_FIN_DIV_DEBT_TOTAL">"c5656"</definedName>
    <definedName name="IQ_FIN_DIV_EXP">"c431"</definedName>
    <definedName name="IQ_FIN_DIV_INT_EXP">"c432"</definedName>
    <definedName name="IQ_FIN_DIV_LEASES_LT_TOTAL">"c5525"</definedName>
    <definedName name="IQ_FIN_DIV_LIAB_CURRENT">"c433"</definedName>
    <definedName name="IQ_FIN_DIV_LIAB_LT">"c434"</definedName>
    <definedName name="IQ_FIN_DIV_LOANS_CURRENT">"c435"</definedName>
    <definedName name="IQ_FIN_DIV_LOANS_LT">"c436"</definedName>
    <definedName name="IQ_FIN_DIV_LT_DEBT_TOTAL">"c5655"</definedName>
    <definedName name="IQ_FIN_DIV_NOTES_PAY_TOTAL">"c5522"</definedName>
    <definedName name="IQ_FIN_DIV_REV">"c437"</definedName>
    <definedName name="IQ_FIN_DIV_ST_DEBT_TOTAL">"c5527"</definedName>
    <definedName name="IQ_FIN_DIV_ST_INVEST">"c6288"</definedName>
    <definedName name="IQ_FINANCIAL_LOC_FOREIGN_GUARANTEES_FFIEC">"c13249"</definedName>
    <definedName name="IQ_FINANCIAL_SERVICING_ASSETS_FAIR_VALUE_TOT_FFIEC">"c13212"</definedName>
    <definedName name="IQ_FINANCIAL_SERVICING_ASSETS_LEVEL_1_FFIEC">"c13220"</definedName>
    <definedName name="IQ_FINANCIAL_SERVICING_ASSETS_LEVEL_2_FFIEC">"c13228"</definedName>
    <definedName name="IQ_FINANCIAL_SERVICING_ASSETS_LEVEL_3_FFIEC">"c13236"</definedName>
    <definedName name="IQ_FINANCIAL_SERVICING_LIAB_FAIR_VALUE_TOT_FFIEC">"c13215"</definedName>
    <definedName name="IQ_FINANCIAL_SERVICING_LIAB_LEVEL_1_FFIEC">"c13223"</definedName>
    <definedName name="IQ_FINANCIAL_SERVICING_LIAB_LEVEL_2_FFIEC">"c13231"</definedName>
    <definedName name="IQ_FINANCIAL_SERVICING_LIAB_LEVEL_3_FFIEC">"c13239"</definedName>
    <definedName name="IQ_FINANCING_CASH">"c1405"</definedName>
    <definedName name="IQ_FINANCING_CASH_SUPPL">"c1406"</definedName>
    <definedName name="IQ_FINANCING_OBLIG_CURRENT">"c11753"</definedName>
    <definedName name="IQ_FINANCING_OBLIG_NON_CURRENT">"c11754"</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Q_EST">"c6794"</definedName>
    <definedName name="IQ_FISCAL_Q_EST_CIQ">"c6806"</definedName>
    <definedName name="IQ_FISCAL_Y">"c441"</definedName>
    <definedName name="IQ_FISCAL_Y_EST">"c6795"</definedName>
    <definedName name="IQ_FISCAL_Y_EST_CIQ">"c6807"</definedName>
    <definedName name="IQ_FIVE_PERCENT_OWNER">"c442"</definedName>
    <definedName name="IQ_FIVE_YEAR_FIXED_AND_FLOATING_RATE_FDIC">"c6422"</definedName>
    <definedName name="IQ_FIVE_YEAR_MORTGAGE_PASS_THROUGHS_FDIC">"c6414"</definedName>
    <definedName name="IQ_FIVEPERCENT_PERCENT">"c443"</definedName>
    <definedName name="IQ_FIVEPERCENT_SHARES">"c444"</definedName>
    <definedName name="IQ_FIX_FREQUENCY">"c8964"</definedName>
    <definedName name="IQ_FIXED_ASSET_TURNS">"c445"</definedName>
    <definedName name="IQ_FIXED_INCOME_LIST">"c13504"</definedName>
    <definedName name="IQ_FIXED_INVEST_APR_FC_UNUSED">"c8410"</definedName>
    <definedName name="IQ_FIXED_INVEST_APR_FC_UNUSED_UNUSED_UNUSED">"c8410"</definedName>
    <definedName name="IQ_FIXED_INVEST_APR_UNUSED">"c7530"</definedName>
    <definedName name="IQ_FIXED_INVEST_APR_UNUSED_UNUSED_UNUSED">"c7530"</definedName>
    <definedName name="IQ_FIXED_INVEST_FC_UNUSED">"c7750"</definedName>
    <definedName name="IQ_FIXED_INVEST_FC_UNUSED_UNUSED_UNUSED">"c7750"</definedName>
    <definedName name="IQ_FIXED_INVEST_MACH_EQUIP">"c6871"</definedName>
    <definedName name="IQ_FIXED_INVEST_MACH_EQUIP_APR">"c7531"</definedName>
    <definedName name="IQ_FIXED_INVEST_MACH_EQUIP_APR_FC">"c8411"</definedName>
    <definedName name="IQ_FIXED_INVEST_MACH_EQUIP_FC">"c7751"</definedName>
    <definedName name="IQ_FIXED_INVEST_MACH_EQUIP_POP">"c7091"</definedName>
    <definedName name="IQ_FIXED_INVEST_MACH_EQUIP_POP_FC">"c7971"</definedName>
    <definedName name="IQ_FIXED_INVEST_MACH_EQUIP_REAL">"c6979"</definedName>
    <definedName name="IQ_FIXED_INVEST_MACH_EQUIP_REAL_APR">"c7639"</definedName>
    <definedName name="IQ_FIXED_INVEST_MACH_EQUIP_REAL_APR_FC">"c8519"</definedName>
    <definedName name="IQ_FIXED_INVEST_MACH_EQUIP_REAL_FC">"c7859"</definedName>
    <definedName name="IQ_FIXED_INVEST_MACH_EQUIP_REAL_POP">"c7199"</definedName>
    <definedName name="IQ_FIXED_INVEST_MACH_EQUIP_REAL_POP_FC">"c8079"</definedName>
    <definedName name="IQ_FIXED_INVEST_MACH_EQUIP_REAL_YOY">"c7419"</definedName>
    <definedName name="IQ_FIXED_INVEST_MACH_EQUIP_REAL_YOY_FC">"c8299"</definedName>
    <definedName name="IQ_FIXED_INVEST_MACH_EQUIP_YOY">"c7311"</definedName>
    <definedName name="IQ_FIXED_INVEST_MACH_EQUIP_YOY_FC">"c8191"</definedName>
    <definedName name="IQ_FIXED_INVEST_POP_FC_UNUSED">"c7970"</definedName>
    <definedName name="IQ_FIXED_INVEST_POP_FC_UNUSED_UNUSED_UNUSED">"c7970"</definedName>
    <definedName name="IQ_FIXED_INVEST_POP_UNUSED">"c7090"</definedName>
    <definedName name="IQ_FIXED_INVEST_POP_UNUSED_UNUSED_UNUSED">"c7090"</definedName>
    <definedName name="IQ_FIXED_INVEST_REAL_APR_FC_UNUSED">"c8518"</definedName>
    <definedName name="IQ_FIXED_INVEST_REAL_APR_FC_UNUSED_UNUSED_UNUSED">"c8518"</definedName>
    <definedName name="IQ_FIXED_INVEST_REAL_APR_UNUSED">"c7638"</definedName>
    <definedName name="IQ_FIXED_INVEST_REAL_APR_UNUSED_UNUSED_UNUSED">"c7638"</definedName>
    <definedName name="IQ_FIXED_INVEST_REAL_FC_UNUSED">"c7858"</definedName>
    <definedName name="IQ_FIXED_INVEST_REAL_FC_UNUSED_UNUSED_UNUSED">"c7858"</definedName>
    <definedName name="IQ_FIXED_INVEST_REAL_POP_FC_UNUSED">"c8078"</definedName>
    <definedName name="IQ_FIXED_INVEST_REAL_POP_FC_UNUSED_UNUSED_UNUSED">"c8078"</definedName>
    <definedName name="IQ_FIXED_INVEST_REAL_POP_UNUSED">"c7198"</definedName>
    <definedName name="IQ_FIXED_INVEST_REAL_POP_UNUSED_UNUSED_UNUSED">"c7198"</definedName>
    <definedName name="IQ_FIXED_INVEST_REAL_SAAR">"c6980"</definedName>
    <definedName name="IQ_FIXED_INVEST_REAL_SAAR_APR">"c7640"</definedName>
    <definedName name="IQ_FIXED_INVEST_REAL_SAAR_APR_FC">"c8520"</definedName>
    <definedName name="IQ_FIXED_INVEST_REAL_SAAR_FC">"c7860"</definedName>
    <definedName name="IQ_FIXED_INVEST_REAL_SAAR_POP">"c7200"</definedName>
    <definedName name="IQ_FIXED_INVEST_REAL_SAAR_POP_FC">"c8080"</definedName>
    <definedName name="IQ_FIXED_INVEST_REAL_SAAR_USD_APR_FC">"c11945"</definedName>
    <definedName name="IQ_FIXED_INVEST_REAL_SAAR_USD_FC">"c11942"</definedName>
    <definedName name="IQ_FIXED_INVEST_REAL_SAAR_USD_POP_FC">"c11943"</definedName>
    <definedName name="IQ_FIXED_INVEST_REAL_SAAR_USD_YOY_FC">"c11944"</definedName>
    <definedName name="IQ_FIXED_INVEST_REAL_SAAR_YOY">"c7420"</definedName>
    <definedName name="IQ_FIXED_INVEST_REAL_SAAR_YOY_FC">"c8300"</definedName>
    <definedName name="IQ_FIXED_INVEST_REAL_UNUSED">"c6978"</definedName>
    <definedName name="IQ_FIXED_INVEST_REAL_UNUSED_UNUSED_UNUSED">"c6978"</definedName>
    <definedName name="IQ_FIXED_INVEST_REAL_USD_APR_FC">"c11941"</definedName>
    <definedName name="IQ_FIXED_INVEST_REAL_USD_FC">"c11938"</definedName>
    <definedName name="IQ_FIXED_INVEST_REAL_USD_POP_FC">"c11939"</definedName>
    <definedName name="IQ_FIXED_INVEST_REAL_USD_YOY_FC">"c11940"</definedName>
    <definedName name="IQ_FIXED_INVEST_REAL_YOY_FC_UNUSED">"c8298"</definedName>
    <definedName name="IQ_FIXED_INVEST_REAL_YOY_FC_UNUSED_UNUSED_UNUSED">"c8298"</definedName>
    <definedName name="IQ_FIXED_INVEST_REAL_YOY_UNUSED">"c7418"</definedName>
    <definedName name="IQ_FIXED_INVEST_REAL_YOY_UNUSED_UNUSED_UNUSED">"c7418"</definedName>
    <definedName name="IQ_FIXED_INVEST_SAAR">"c6872"</definedName>
    <definedName name="IQ_FIXED_INVEST_SAAR_APR">"c7532"</definedName>
    <definedName name="IQ_FIXED_INVEST_SAAR_APR_FC">"c8412"</definedName>
    <definedName name="IQ_FIXED_INVEST_SAAR_FC">"c7752"</definedName>
    <definedName name="IQ_FIXED_INVEST_SAAR_POP">"c7092"</definedName>
    <definedName name="IQ_FIXED_INVEST_SAAR_POP_FC">"c7972"</definedName>
    <definedName name="IQ_FIXED_INVEST_SAAR_USD_APR_FC">"c11833"</definedName>
    <definedName name="IQ_FIXED_INVEST_SAAR_USD_FC">"c11830"</definedName>
    <definedName name="IQ_FIXED_INVEST_SAAR_USD_POP_FC">"c11831"</definedName>
    <definedName name="IQ_FIXED_INVEST_SAAR_USD_YOY_FC">"c11832"</definedName>
    <definedName name="IQ_FIXED_INVEST_SAAR_YOY">"c7312"</definedName>
    <definedName name="IQ_FIXED_INVEST_SAAR_YOY_FC">"c8192"</definedName>
    <definedName name="IQ_FIXED_INVEST_UNUSED">"c6870"</definedName>
    <definedName name="IQ_FIXED_INVEST_UNUSED_UNUSED_UNUSED">"c6870"</definedName>
    <definedName name="IQ_FIXED_INVEST_USD_APR_FC">"c11829"</definedName>
    <definedName name="IQ_FIXED_INVEST_USD_FC">"c11826"</definedName>
    <definedName name="IQ_FIXED_INVEST_USD_POP_FC">"c11827"</definedName>
    <definedName name="IQ_FIXED_INVEST_USD_YOY_FC">"c11828"</definedName>
    <definedName name="IQ_FIXED_INVEST_YOY_FC_UNUSED">"c8190"</definedName>
    <definedName name="IQ_FIXED_INVEST_YOY_FC_UNUSED_UNUSED_UNUSED">"c8190"</definedName>
    <definedName name="IQ_FIXED_INVEST_YOY_UNUSED">"c7310"</definedName>
    <definedName name="IQ_FIXED_INVEST_YOY_UNUSED_UNUSED_UNUSED">"c7310"</definedName>
    <definedName name="IQ_FLOAT_PERCENT">"c1575"</definedName>
    <definedName name="IQ_FNMA_FHLMC_FDIC">"c6397"</definedName>
    <definedName name="IQ_FNMA_FHLMC_GNMA_FDIC">"c6399"</definedName>
    <definedName name="IQ_FORECLOSED_PROP_GNMA_LOANS_FFIEC">"c15272"</definedName>
    <definedName name="IQ_FORECLOSED_PROPERTIES_FDIC">"c6459"</definedName>
    <definedName name="IQ_FOREIGN_BANK_LOANS_FDIC">"c6437"</definedName>
    <definedName name="IQ_FOREIGN_BANKS_DEPOSITS_FOREIGN_FDIC">"c6481"</definedName>
    <definedName name="IQ_FOREIGN_BANKS_DUE_30_89_FFIEC">"c13269"</definedName>
    <definedName name="IQ_FOREIGN_BANKS_DUE_90_FFIEC">"c13295"</definedName>
    <definedName name="IQ_FOREIGN_BANKS_LOAN_CHARG_OFFS_FDIC">"c6645"</definedName>
    <definedName name="IQ_FOREIGN_BANKS_NET_CHARGE_OFFS_FDIC">"c6647"</definedName>
    <definedName name="IQ_FOREIGN_BANKS_NON_ACCRUAL_FFIEC">"c13321"</definedName>
    <definedName name="IQ_FOREIGN_BANKS_NONTRANSACTION_ACCOUNTS_FDIC">"c6550"</definedName>
    <definedName name="IQ_FOREIGN_BANKS_RECOVERIES_FDIC">"c6646"</definedName>
    <definedName name="IQ_FOREIGN_BANKS_TRANSACTION_ACCOUNTS_FDIC">"c6542"</definedName>
    <definedName name="IQ_FOREIGN_BRANCHES_U.S._BANKS_LOANS_FDIC">"c6438"</definedName>
    <definedName name="IQ_FOREIGN_BRANCHES_US_BANKS_FDIC">"c6392"</definedName>
    <definedName name="IQ_FOREIGN_BRANCHES_US_BANKS_LOANS_FDIC">"c6438"</definedName>
    <definedName name="IQ_FOREIGN_COUNTRIES_BANKS_TOTAL_LOANS_FOREIGN_FDIC">"c6445"</definedName>
    <definedName name="IQ_FOREIGN_DEBT_SECURITIES_FDIC">"c6303"</definedName>
    <definedName name="IQ_FOREIGN_DEP_IB">"c446"</definedName>
    <definedName name="IQ_FOREIGN_DEP_NON_IB">"c447"</definedName>
    <definedName name="IQ_FOREIGN_DEPOSITS_ASSETS_TOT_FFIEC">"c13445"</definedName>
    <definedName name="IQ_FOREIGN_DEPOSITS_NONTRANSACTION_ACCOUNTS_FDIC">"c6549"</definedName>
    <definedName name="IQ_FOREIGN_DEPOSITS_TOT_FFIEC">"c13486"</definedName>
    <definedName name="IQ_FOREIGN_DEPOSITS_TRANSACTION_ACCOUNTS_FDIC">"c6541"</definedName>
    <definedName name="IQ_FOREIGN_EXCHANGE">"c1376"</definedName>
    <definedName name="IQ_FOREIGN_EXCHANGE_EXPOSURES_FDIC">"c6663"</definedName>
    <definedName name="IQ_FOREIGN_GOVERNMENT_LOANS_FDIC">"c6430"</definedName>
    <definedName name="IQ_FOREIGN_GOVERNMENTS_CHARGE_OFFS_FDIC">"c6600"</definedName>
    <definedName name="IQ_FOREIGN_GOVERNMENTS_DEPOSITS_FOREIGN_FDIC">"c6482"</definedName>
    <definedName name="IQ_FOREIGN_GOVERNMENTS_NET_CHARGE_OFFS_FDIC">"c6638"</definedName>
    <definedName name="IQ_FOREIGN_GOVERNMENTS_NONTRANSACTION_ACCOUNTS_FDIC">"c6551"</definedName>
    <definedName name="IQ_FOREIGN_GOVERNMENTS_RECOVERIES_FDIC">"c6619"</definedName>
    <definedName name="IQ_FOREIGN_GOVERNMENTS_TOTAL_DEPOSITS_FDIC">"c6476"</definedName>
    <definedName name="IQ_FOREIGN_GOVERNMENTS_TRANSACTION_ACCOUNTS_FDIC">"c6543"</definedName>
    <definedName name="IQ_FOREIGN_GOVT_OFFICIAL_INST_FOREIGN_DEP_FFIEC">"c15345"</definedName>
    <definedName name="IQ_FOREIGN_GOVT_OFFICIAL_INST_NON_TRANS_ACCTS_FFIEC">"c15327"</definedName>
    <definedName name="IQ_FOREIGN_GOVT_OFFICIAL_INST_TRANS_ACCTS_FFIEC">"c15319"</definedName>
    <definedName name="IQ_FOREIGN_LL_REC_FFIEC">"c12892"</definedName>
    <definedName name="IQ_FOREIGN_LOANS">"c448"</definedName>
    <definedName name="IQ_FOREIGN_LOANS_LEASES_FOREIGN_FFIEC">"c13478"</definedName>
    <definedName name="IQ_FOUNDATION_OVER_TOTAL">"c13769"</definedName>
    <definedName name="IQ_FQ">500</definedName>
    <definedName name="IQ_FUEL">"c449"</definedName>
    <definedName name="IQ_FULL_TIME">"c450"</definedName>
    <definedName name="IQ_FULLY_INSURED_BROKERED_DEPOSITS_FFIEC">"c15305"</definedName>
    <definedName name="IQ_FULLY_INSURED_DEPOSITS_FDIC">"c6487"</definedName>
    <definedName name="IQ_FUND_FEE_INC_NON_INT_INC_FFIEC">"c13493"</definedName>
    <definedName name="IQ_FUND_NAV">"c15225"</definedName>
    <definedName name="IQ_FUNDING_DEPENDENCE_FFIEC">"c13336"</definedName>
    <definedName name="IQ_FUNDING_DEPENDENCE_ST_FFIEC">"c13337"</definedName>
    <definedName name="IQ_FUNDS_PURCHASED_ASSETS_TOT_FFIEC">"c13446"</definedName>
    <definedName name="IQ_FUTURES_FORWARD_CONTRACTS_NOTIONAL_AMOUNT_FDIC">"c6518"</definedName>
    <definedName name="IQ_FUTURES_FORWARD_CONTRACTS_RATE_RISK_FDIC">"c6508"</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X_CONTRACTS_FDIC">"c6517"</definedName>
    <definedName name="IQ_FX_CONTRACTS_FFIEC">"c13125"</definedName>
    <definedName name="IQ_FX_CONTRACTS_SPOT_FDIC">"c6356"</definedName>
    <definedName name="IQ_FX_EXPOSURE_FFIEC">"c13059"</definedName>
    <definedName name="IQ_FY">1000</definedName>
    <definedName name="IQ_GA_EXP">"c2241"</definedName>
    <definedName name="IQ_GAAP_BS">"c6789"</definedName>
    <definedName name="IQ_GAAP_CF">"c6790"</definedName>
    <definedName name="IQ_GAAP_EST_CIQ">"c13924"</definedName>
    <definedName name="IQ_GAAP_IS">"c6194"</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"c6217"</definedName>
    <definedName name="IQ_GAIN_ASSETS_CF_REIT">"c460"</definedName>
    <definedName name="IQ_GAIN_ASSETS_CF_UTI">"c461"</definedName>
    <definedName name="IQ_GAIN_ASSETS_FIN">"c462"</definedName>
    <definedName name="IQ_GAIN_ASSETS_INS">"c463"</definedName>
    <definedName name="IQ_GAIN_ASSETS_RE">"c6218"</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"c6219"</definedName>
    <definedName name="IQ_GAIN_ASSETS_REV_REIT">"c477"</definedName>
    <definedName name="IQ_GAIN_ASSETS_REV_UTI">"c478"</definedName>
    <definedName name="IQ_GAIN_ASSETS_UTI">"c479"</definedName>
    <definedName name="IQ_GAIN_CREDIT_DERIVATIVES_FFIEC">"c13066"</definedName>
    <definedName name="IQ_GAIN_CREDIT_DERIVATIVES_NON_TRADING_FFIEC">"c13067"</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"c6220"</definedName>
    <definedName name="IQ_GAIN_INVEST_CF_REIT">"c485"</definedName>
    <definedName name="IQ_GAIN_INVEST_CF_UTI">"c486"</definedName>
    <definedName name="IQ_GAIN_INVEST_FIN">"c1465"</definedName>
    <definedName name="IQ_GAIN_INVEST_INS">"c1466"</definedName>
    <definedName name="IQ_GAIN_INVEST_RE">"c6278"</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"c6221"</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LOSS_HTM_AFS_SECURITIES_FOREIGN_FFIEC">"c15384"</definedName>
    <definedName name="IQ_GAIN_SALE_ASSETS">"c1377"</definedName>
    <definedName name="IQ_GAIN_SALE_LOANS_FDIC">"c6673"</definedName>
    <definedName name="IQ_GAIN_SALE_RE_FDIC">"c6674"</definedName>
    <definedName name="IQ_GAINS_AFS_AVG_ASSETS_FFIEC">"c13364"</definedName>
    <definedName name="IQ_GAINS_ASSETS_TOT_FFIEC">"c13073"</definedName>
    <definedName name="IQ_GAINS_AVAIL_SALE_EQUITY_SEC_T2_FFIEC">"c13147"</definedName>
    <definedName name="IQ_GAINS_AVAIL_SALE_SEC_T1_FFIEC">"c13131"</definedName>
    <definedName name="IQ_GAINS_CASH_FLOW_HEDGES_T1_FFIEC">"c13133"</definedName>
    <definedName name="IQ_GAINS_HTM_AVG_ASSETS_FFIEC">"c13363"</definedName>
    <definedName name="IQ_GAINS_INSTRUMENT_SPECIFIC_CREDIT_RISK_LIAB_FFIEC">"c13076"</definedName>
    <definedName name="IQ_GAINS_INSTRUMENT_SPECIFIC_RISK_FFIEC">"c13074"</definedName>
    <definedName name="IQ_GAINS_INSURANCE_ACTIVITIES_FFIEC">"c13072"</definedName>
    <definedName name="IQ_GAINS_LIABILITIES_FFIEC">"c13075"</definedName>
    <definedName name="IQ_GAINS_SALE_ASSETS_FDIC">"c6675"</definedName>
    <definedName name="IQ_GAINS_SALE_LOANS_LEASES_FFIEC">"c13013"</definedName>
    <definedName name="IQ_GAINS_SALE_OTHER_ASSETS_FFIEC">"c13015"</definedName>
    <definedName name="IQ_GAINS_SALE_OTHER_RE_OWNED_FFIEC">"c13014"</definedName>
    <definedName name="IQ_GAINS_SECURITIZATION_OPERATING_INC_FFIEC">"c13391"</definedName>
    <definedName name="IQ_GDP">"c6874"</definedName>
    <definedName name="IQ_GDP_APR">"c7534"</definedName>
    <definedName name="IQ_GDP_APR_FC">"c8414"</definedName>
    <definedName name="IQ_GDP_FC">"c7754"</definedName>
    <definedName name="IQ_GDP_POP">"c7094"</definedName>
    <definedName name="IQ_GDP_POP_FC">"c7974"</definedName>
    <definedName name="IQ_GDP_REAL">"c6981"</definedName>
    <definedName name="IQ_GDP_REAL_APR">"c7641"</definedName>
    <definedName name="IQ_GDP_REAL_APR_FC">"c8521"</definedName>
    <definedName name="IQ_GDP_REAL_FC">"c7861"</definedName>
    <definedName name="IQ_GDP_REAL_POP">"c7201"</definedName>
    <definedName name="IQ_GDP_REAL_POP_FC">"c8081"</definedName>
    <definedName name="IQ_GDP_REAL_SAAR">"c6982"</definedName>
    <definedName name="IQ_GDP_REAL_SAAR_APR">"c7642"</definedName>
    <definedName name="IQ_GDP_REAL_SAAR_APR_FC">"c8522"</definedName>
    <definedName name="IQ_GDP_REAL_SAAR_FC">"c7862"</definedName>
    <definedName name="IQ_GDP_REAL_SAAR_POP">"c7202"</definedName>
    <definedName name="IQ_GDP_REAL_SAAR_POP_FC">"c8082"</definedName>
    <definedName name="IQ_GDP_REAL_SAAR_YOY">"c7422"</definedName>
    <definedName name="IQ_GDP_REAL_SAAR_YOY_FC">"c8302"</definedName>
    <definedName name="IQ_GDP_REAL_USD">"c11946"</definedName>
    <definedName name="IQ_GDP_REAL_USD_APR">"c11949"</definedName>
    <definedName name="IQ_GDP_REAL_USD_POP">"c11947"</definedName>
    <definedName name="IQ_GDP_REAL_USD_YOY">"c11948"</definedName>
    <definedName name="IQ_GDP_REAL_YOY">"c7421"</definedName>
    <definedName name="IQ_GDP_REAL_YOY_FC">"c8301"</definedName>
    <definedName name="IQ_GDP_SAAR">"c6875"</definedName>
    <definedName name="IQ_GDP_SAAR_APR">"c7535"</definedName>
    <definedName name="IQ_GDP_SAAR_APR_FC">"c8415"</definedName>
    <definedName name="IQ_GDP_SAAR_FC">"c7755"</definedName>
    <definedName name="IQ_GDP_SAAR_POP">"c7095"</definedName>
    <definedName name="IQ_GDP_SAAR_POP_FC">"c7975"</definedName>
    <definedName name="IQ_GDP_SAAR_YOY">"c7315"</definedName>
    <definedName name="IQ_GDP_SAAR_YOY_FC">"c8195"</definedName>
    <definedName name="IQ_GDP_USD">"c11834"</definedName>
    <definedName name="IQ_GDP_USD_APR">"c11837"</definedName>
    <definedName name="IQ_GDP_USD_POP">"c11835"</definedName>
    <definedName name="IQ_GDP_USD_YOY">"c11836"</definedName>
    <definedName name="IQ_GDP_YOY">"c7314"</definedName>
    <definedName name="IQ_GDP_YOY_FC">"c8194"</definedName>
    <definedName name="IQ_GENERAL_ALLOWANCE">"c15248"</definedName>
    <definedName name="IQ_GEO_SEG_ASSETS">"c4069"</definedName>
    <definedName name="IQ_GEO_SEG_ASSETS_ABS">"c4091"</definedName>
    <definedName name="IQ_GEO_SEG_ASSETS_TOTAL">"c4123"</definedName>
    <definedName name="IQ_GEO_SEG_CAPEX">"c4083"</definedName>
    <definedName name="IQ_GEO_SEG_CAPEX_ABS">"c4105"</definedName>
    <definedName name="IQ_GEO_SEG_CAPEX_TOTAL">"c4127"</definedName>
    <definedName name="IQ_GEO_SEG_DA">"c4082"</definedName>
    <definedName name="IQ_GEO_SEG_DA_ABS">"c4104"</definedName>
    <definedName name="IQ_GEO_SEG_DA_TOTAL">"c4126"</definedName>
    <definedName name="IQ_GEO_SEG_EARNINGS_OP">"c4073"</definedName>
    <definedName name="IQ_GEO_SEG_EARNINGS_OP_ABS">"c4095"</definedName>
    <definedName name="IQ_GEO_SEG_EARNINGS_OP_TOTAL">"c4119"</definedName>
    <definedName name="IQ_GEO_SEG_EBT">"c4072"</definedName>
    <definedName name="IQ_GEO_SEG_EBT_ABS">"c4094"</definedName>
    <definedName name="IQ_GEO_SEG_EBT_TOTAL">"c4121"</definedName>
    <definedName name="IQ_GEO_SEG_GP">"c4070"</definedName>
    <definedName name="IQ_GEO_SEG_GP_ABS">"c4092"</definedName>
    <definedName name="IQ_GEO_SEG_GP_TOTAL">"c4120"</definedName>
    <definedName name="IQ_GEO_SEG_INC_TAX">"c4081"</definedName>
    <definedName name="IQ_GEO_SEG_INC_TAX_ABS">"c4103"</definedName>
    <definedName name="IQ_GEO_SEG_INC_TAX_TOTAL">"c4125"</definedName>
    <definedName name="IQ_GEO_SEG_INTEREST_EXP">"c4080"</definedName>
    <definedName name="IQ_GEO_SEG_INTEREST_EXP_ABS">"c4102"</definedName>
    <definedName name="IQ_GEO_SEG_INTEREST_EXP_TOTAL">"c4124"</definedName>
    <definedName name="IQ_GEO_SEG_NAME">"c5484"</definedName>
    <definedName name="IQ_GEO_SEG_NAME_ABS">"c5485"</definedName>
    <definedName name="IQ_GEO_SEG_NI">"c4071"</definedName>
    <definedName name="IQ_GEO_SEG_NI_ABS">"c4093"</definedName>
    <definedName name="IQ_GEO_SEG_NI_TOTAL">"c4122"</definedName>
    <definedName name="IQ_GEO_SEG_OPER_INC">"c4075"</definedName>
    <definedName name="IQ_GEO_SEG_OPER_INC_ABS">"c4097"</definedName>
    <definedName name="IQ_GEO_SEG_OPER_INC_TOTAL">"c4118"</definedName>
    <definedName name="IQ_GEO_SEG_REV">"c4074"</definedName>
    <definedName name="IQ_GEO_SEG_REV_ABS">"c4096"</definedName>
    <definedName name="IQ_GEO_SEG_REV_TOTAL">"c4117"</definedName>
    <definedName name="IQ_GLA_PCT_LEASED_CONSOL">"c8810"</definedName>
    <definedName name="IQ_GLA_PCT_LEASED_MANAGED">"c8812"</definedName>
    <definedName name="IQ_GLA_PCT_LEASED_OTHER">"c8813"</definedName>
    <definedName name="IQ_GLA_PCT_LEASED_TOTAL">"c8814"</definedName>
    <definedName name="IQ_GLA_PCT_LEASED_UNCONSOL">"c8811"</definedName>
    <definedName name="IQ_GLA_SQ_FT_CONSOL">"c8790"</definedName>
    <definedName name="IQ_GLA_SQ_FT_MANAGED">"c8792"</definedName>
    <definedName name="IQ_GLA_SQ_FT_OTHER">"c8793"</definedName>
    <definedName name="IQ_GLA_SQ_FT_TOTAL">"c8794"</definedName>
    <definedName name="IQ_GLA_SQ_FT_UNCONSOL">"c8791"</definedName>
    <definedName name="IQ_GLA_SQ_METER_CONSOL">"c8795"</definedName>
    <definedName name="IQ_GLA_SQ_METER_MANAGED">"c8797"</definedName>
    <definedName name="IQ_GLA_SQ_METER_OTHER">"c8798"</definedName>
    <definedName name="IQ_GLA_SQ_METER_TOTAL">"c8799"</definedName>
    <definedName name="IQ_GLA_SQ_METER_UNCONSOL">"c8796"</definedName>
    <definedName name="IQ_GNMA_FDIC">"c6398"</definedName>
    <definedName name="IQ_GOODWILL_FDIC">"c6334"</definedName>
    <definedName name="IQ_GOODWILL_FFIEC">"c12836"</definedName>
    <definedName name="IQ_GOODWILL_IMPAIRMENT_FDIC">"c6678"</definedName>
    <definedName name="IQ_GOODWILL_IMPAIRMENT_FFIEC">"c13025"</definedName>
    <definedName name="IQ_GOODWILL_INTAN_FDIC">"c6333"</definedName>
    <definedName name="IQ_GOODWILL_NET">"c1380"</definedName>
    <definedName name="IQ_GOVT_PERSONAL_TAXES_RECEIPTS">"c6876"</definedName>
    <definedName name="IQ_GOVT_PERSONAL_TAXES_RECEIPTS_APR">"c7536"</definedName>
    <definedName name="IQ_GOVT_PERSONAL_TAXES_RECEIPTS_APR_FC">"c8416"</definedName>
    <definedName name="IQ_GOVT_PERSONAL_TAXES_RECEIPTS_FC">"c7756"</definedName>
    <definedName name="IQ_GOVT_PERSONAL_TAXES_RECEIPTS_POP">"c7096"</definedName>
    <definedName name="IQ_GOVT_PERSONAL_TAXES_RECEIPTS_POP_FC">"c7976"</definedName>
    <definedName name="IQ_GOVT_PERSONAL_TAXES_RECEIPTS_YOY">"c7316"</definedName>
    <definedName name="IQ_GOVT_PERSONAL_TAXES_RECEIPTS_YOY_FC">"c8196"</definedName>
    <definedName name="IQ_GOVT_RECEIPTS">"c6877"</definedName>
    <definedName name="IQ_GOVT_RECEIPTS_APR">"c7537"</definedName>
    <definedName name="IQ_GOVT_RECEIPTS_APR_FC">"c8417"</definedName>
    <definedName name="IQ_GOVT_RECEIPTS_FC">"c7757"</definedName>
    <definedName name="IQ_GOVT_RECEIPTS_POP">"c7097"</definedName>
    <definedName name="IQ_GOVT_RECEIPTS_POP_FC">"c7977"</definedName>
    <definedName name="IQ_GOVT_RECEIPTS_YOY">"c7317"</definedName>
    <definedName name="IQ_GOVT_RECEIPTS_YOY_FC">"c8197"</definedName>
    <definedName name="IQ_GP">"c511"</definedName>
    <definedName name="IQ_GP_10YR_ANN_CAGR">"c6090"</definedName>
    <definedName name="IQ_GP_10YR_ANN_GROWTH">"c512"</definedName>
    <definedName name="IQ_GP_1YR_ANN_GROWTH">"c513"</definedName>
    <definedName name="IQ_GP_2YR_ANN_CAGR">"c6091"</definedName>
    <definedName name="IQ_GP_2YR_ANN_GROWTH">"c514"</definedName>
    <definedName name="IQ_GP_3YR_ANN_CAGR">"c6092"</definedName>
    <definedName name="IQ_GP_3YR_ANN_GROWTH">"c515"</definedName>
    <definedName name="IQ_GP_5YR_ANN_CAGR">"c6093"</definedName>
    <definedName name="IQ_GP_5YR_ANN_GROWTH">"c516"</definedName>
    <definedName name="IQ_GP_7YR_ANN_CAGR">"c6094"</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LIFE_EARNED">"c2737"</definedName>
    <definedName name="IQ_GROSS_LIFE_IN_FORCE">"c2767"</definedName>
    <definedName name="IQ_GROSS_LOANS">"c521"</definedName>
    <definedName name="IQ_GROSS_LOANS_10YR_ANN_CAGR">"c6095"</definedName>
    <definedName name="IQ_GROSS_LOANS_10YR_ANN_GROWTH">"c522"</definedName>
    <definedName name="IQ_GROSS_LOANS_1YR_ANN_GROWTH">"c523"</definedName>
    <definedName name="IQ_GROSS_LOANS_2YR_ANN_CAGR">"c6096"</definedName>
    <definedName name="IQ_GROSS_LOANS_2YR_ANN_GROWTH">"c524"</definedName>
    <definedName name="IQ_GROSS_LOANS_3YR_ANN_CAGR">"c6097"</definedName>
    <definedName name="IQ_GROSS_LOANS_3YR_ANN_GROWTH">"c525"</definedName>
    <definedName name="IQ_GROSS_LOANS_5YR_ANN_CAGR">"c6098"</definedName>
    <definedName name="IQ_GROSS_LOANS_5YR_ANN_GROWTH">"c526"</definedName>
    <definedName name="IQ_GROSS_LOANS_7YR_ANN_CAGR">"c6099"</definedName>
    <definedName name="IQ_GROSS_LOANS_7YR_ANN_GROWTH">"c527"</definedName>
    <definedName name="IQ_GROSS_LOANS_TOTAL_DEPOSITS">"c528"</definedName>
    <definedName name="IQ_GROSS_LOSSES_AVG_LOANS_FFIEC">"c13475"</definedName>
    <definedName name="IQ_GROSS_MARGIN">"c529"</definedName>
    <definedName name="IQ_GROSS_MARGIN_ACT_OR_EST">"c5554"</definedName>
    <definedName name="IQ_GROSS_MARGIN_EST">"c5547"</definedName>
    <definedName name="IQ_GROSS_MARGIN_HIGH_EST">"c5549"</definedName>
    <definedName name="IQ_GROSS_MARGIN_LOW_EST">"c5550"</definedName>
    <definedName name="IQ_GROSS_MARGIN_MEDIAN_EST">"c5548"</definedName>
    <definedName name="IQ_GROSS_MARGIN_NUM_EST">"c5551"</definedName>
    <definedName name="IQ_GROSS_MARGIN_STDDEV_EST">"c5552"</definedName>
    <definedName name="IQ_GROSS_PC_EARNED">"c2747"</definedName>
    <definedName name="IQ_GROSS_PROFIT">"c1378"</definedName>
    <definedName name="IQ_GROSS_SPRD">"c2155"</definedName>
    <definedName name="IQ_GROSS_WRITTEN">"c2726"</definedName>
    <definedName name="IQ_GROUP_EMBEDDED_VALUE_ASSET_MANAGEMENT">"c9955"</definedName>
    <definedName name="IQ_GROUP_EMBEDDED_VALUE_HEALTH">"c9954"</definedName>
    <definedName name="IQ_GROUP_EMBEDDED_VALUE_LIFE">"c9953"</definedName>
    <definedName name="IQ_GROUP_EMBEDDED_VALUE_LIFE_OTHER">"c9956"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"c6279"</definedName>
    <definedName name="IQ_GW_INTAN_AMORT_CF_REIT">"c1476"</definedName>
    <definedName name="IQ_GW_INTAN_AMORT_CF_UTI">"c1477"</definedName>
    <definedName name="IQ_GW_INTAN_AMORT_FIN">"c1478"</definedName>
    <definedName name="IQ_GW_INTAN_AMORT_INS">"c1479"</definedName>
    <definedName name="IQ_GW_INTAN_AMORT_RE">"c6280"</definedName>
    <definedName name="IQ_GW_INTAN_AMORT_REIT">"c1480"</definedName>
    <definedName name="IQ_GW_INTAN_AMORT_UTI">"c1481"</definedName>
    <definedName name="IQ_HC_ADJUSTED_DISCHARGES">"c9977"</definedName>
    <definedName name="IQ_HC_ADMISSIONS">"c5953"</definedName>
    <definedName name="IQ_HC_ADMISSIONS_GROWTH">"c5997"</definedName>
    <definedName name="IQ_HC_ADMISSIONS_MANAGED_CARE">"c5956"</definedName>
    <definedName name="IQ_HC_ADMISSIONS_MEDICAID">"c5955"</definedName>
    <definedName name="IQ_HC_ADMISSIONS_MEDICARE">"c5954"</definedName>
    <definedName name="IQ_HC_ADMISSIONS_OTHER">"c5957"</definedName>
    <definedName name="IQ_HC_ADMISSIONS_SF">"c6006"</definedName>
    <definedName name="IQ_HC_ALFS">"c5952"</definedName>
    <definedName name="IQ_HC_ASO_COVERED_LIVES">"c9982"</definedName>
    <definedName name="IQ_HC_ASO_MEMBERSHIP">"c9985"</definedName>
    <definedName name="IQ_HC_AVG_BEDS_SVC">"c5951"</definedName>
    <definedName name="IQ_HC_AVG_DAILY_CENSUS">"c5965"</definedName>
    <definedName name="IQ_HC_AVG_LICENSED_BEDS">"c5949"</definedName>
    <definedName name="IQ_HC_AVG_LICENSED_BEDS_SF">"c6004"</definedName>
    <definedName name="IQ_HC_AVG_STAY">"c5966"</definedName>
    <definedName name="IQ_HC_AVG_STAY_SF">"c6016"</definedName>
    <definedName name="IQ_HC_BEDS_SVC">"c5950"</definedName>
    <definedName name="IQ_HC_CASES">"c9978"</definedName>
    <definedName name="IQ_HC_CLAIMS_RESERVES">"c9989"</definedName>
    <definedName name="IQ_HC_DAYS_REV_OUT">"c5993"</definedName>
    <definedName name="IQ_HC_DISCHARGES">"c9976"</definedName>
    <definedName name="IQ_HC_EQUIV_ADMISSIONS_GROWTH">"c5998"</definedName>
    <definedName name="IQ_HC_EQUIVALENT_ADMISSIONS">"c5958"</definedName>
    <definedName name="IQ_HC_EQUIVALENT_ADMISSIONS_SF">"c6007"</definedName>
    <definedName name="IQ_HC_EQUIVALENT_PATIENT_DAYS">"c9980"</definedName>
    <definedName name="IQ_HC_ER_VISITS">"c5964"</definedName>
    <definedName name="IQ_HC_ER_VISITS_SF">"c6017"</definedName>
    <definedName name="IQ_HC_GROSS_INPATIENT_REV">"c5987"</definedName>
    <definedName name="IQ_HC_GROSS_OUTPATIENT_REV">"c5988"</definedName>
    <definedName name="IQ_HC_GROSS_PATIENT_REV">"c5989"</definedName>
    <definedName name="IQ_HC_HOSP_FACILITIES_CONSOL">"c5945"</definedName>
    <definedName name="IQ_HC_HOSP_FACILITIES_CONSOL_SF">"c6000"</definedName>
    <definedName name="IQ_HC_HOSP_FACILITIES_NON_CONSOL">"c5946"</definedName>
    <definedName name="IQ_HC_HOSP_FACILITIES_NON_CONSOL_SF">"c6001"</definedName>
    <definedName name="IQ_HC_HOSP_FACILITIES_TOTAL">"c5947"</definedName>
    <definedName name="IQ_HC_HOSP_FACILITIES_TOTAL_SF">"c6002"</definedName>
    <definedName name="IQ_HC_INPATIENT_PROCEDURES">"c5961"</definedName>
    <definedName name="IQ_HC_INPATIENT_PROCEDURES_SF">"c6011"</definedName>
    <definedName name="IQ_HC_INPATIENT_REV_PER_ADMISSION">"c5994"</definedName>
    <definedName name="IQ_HC_INTPATIENT_SVCS_PCT_REV">"c5975"</definedName>
    <definedName name="IQ_HC_INTPATIENT_SVCS_PCT_REV_SF">"c6015"</definedName>
    <definedName name="IQ_HC_LICENSED_BEDS">"c5948"</definedName>
    <definedName name="IQ_HC_LICENSED_BEDS_SF">"c6003"</definedName>
    <definedName name="IQ_HC_MANAGED_CARE_PCT_ADMISSIONS">"c5982"</definedName>
    <definedName name="IQ_HC_MANAGED_CARE_PCT_REV">"c5978"</definedName>
    <definedName name="IQ_HC_MEDICAID_PCT_ADMISSIONS">"c5981"</definedName>
    <definedName name="IQ_HC_MEDICAID_PCT_REV">"c5977"</definedName>
    <definedName name="IQ_HC_MEDICAL_EXPENSE_RATIO">"c9987"</definedName>
    <definedName name="IQ_HC_MEDICARE_PCT_ADMISSIONS">"c5980"</definedName>
    <definedName name="IQ_HC_MEDICARE_PCT_REV">"c5976"</definedName>
    <definedName name="IQ_HC_NET_INPATIENT_REV">"c5984"</definedName>
    <definedName name="IQ_HC_NET_OUTPATIENT_REV">"c5985"</definedName>
    <definedName name="IQ_HC_NET_PATIENT_REV">"c5986"</definedName>
    <definedName name="IQ_HC_NET_PATIENT_REV_SF">"c6005"</definedName>
    <definedName name="IQ_HC_OCC_RATE">"c5967"</definedName>
    <definedName name="IQ_HC_OCC_RATE_LICENSED_BEDS">"c5968"</definedName>
    <definedName name="IQ_HC_OCC_RATE_SF">"c6009"</definedName>
    <definedName name="IQ_HC_OPEX_SUPPLIES">"c5990"</definedName>
    <definedName name="IQ_HC_OTHER_OPEX_PCT_REV">"c5973"</definedName>
    <definedName name="IQ_HC_OUTPATIENT_PROCEDURES">"c5962"</definedName>
    <definedName name="IQ_HC_OUTPATIENT_PROCEDURES_SF">"c6012"</definedName>
    <definedName name="IQ_HC_OUTPATIENT_REV_PER_ADMISSION">"c5995"</definedName>
    <definedName name="IQ_HC_OUTPATIENT_SVCS_PCT_REV">"c5974"</definedName>
    <definedName name="IQ_HC_OUTPATIENT_SVCS_PCT_REV_SF">"c6014"</definedName>
    <definedName name="IQ_HC_PATIENT_DAYS">"c5960"</definedName>
    <definedName name="IQ_HC_PATIENT_DAYS_SF">"c6010"</definedName>
    <definedName name="IQ_HC_PROF_GEN_LIAB_CLAIM_PAID">"c5991"</definedName>
    <definedName name="IQ_HC_PROF_GEN_LIAB_EXP_BENEFIT">"c5992"</definedName>
    <definedName name="IQ_HC_PROVISION_DOUBTFUL_PCT_REV">"c5972"</definedName>
    <definedName name="IQ_HC_REV_GROWTH">"c5996"</definedName>
    <definedName name="IQ_HC_REV_PER_CASE">"c9979"</definedName>
    <definedName name="IQ_HC_REV_PER_DISCHARGE">"c9990"</definedName>
    <definedName name="IQ_HC_REV_PER_EQUIV_ADMISSION">"c5959"</definedName>
    <definedName name="IQ_HC_REV_PER_EQUIV_ADMISSION_SF">"c6008"</definedName>
    <definedName name="IQ_HC_REV_PER_EQUIV_ADMISSIONS_GROWTH">"c5999"</definedName>
    <definedName name="IQ_HC_REV_PER_PATIENT_DAY">"c5969"</definedName>
    <definedName name="IQ_HC_REV_PER_PATIENT_DAY_SF">"c6018"</definedName>
    <definedName name="IQ_HC_RISK_COVERED_LIVES">"c9981"</definedName>
    <definedName name="IQ_HC_RISK_MEMBERSHIP">"c9984"</definedName>
    <definedName name="IQ_HC_SALARIES_PCT_REV">"c5970"</definedName>
    <definedName name="IQ_HC_SGA_MARGIN">"c9988"</definedName>
    <definedName name="IQ_HC_SUPPLIES_PCT_REV">"c5971"</definedName>
    <definedName name="IQ_HC_TOTAL_COVERED_LIVES">"c9983"</definedName>
    <definedName name="IQ_HC_TOTAL_MEMBERSHIP">"c9986"</definedName>
    <definedName name="IQ_HC_TOTAL_PROCEDURES">"c5963"</definedName>
    <definedName name="IQ_HC_TOTAL_PROCEDURES_SF">"c6013"</definedName>
    <definedName name="IQ_HC_UNINSURED_PCT_ADMISSIONS">"c5983"</definedName>
    <definedName name="IQ_HC_UNINSURED_PCT_REV">"c5979"</definedName>
    <definedName name="IQ_HEDGEFUND_OVER_TOTAL">"c13771"</definedName>
    <definedName name="IQ_HELD_MATURITY_FDIC">"c6408"</definedName>
    <definedName name="IQ_HG_ACQUIRED_FRANCHISE_HOTEL_PROPERTIES">"c8584"</definedName>
    <definedName name="IQ_HG_ACQUIRED_FRANCHISE_ROOMS">"c8614"</definedName>
    <definedName name="IQ_HG_ACQUIRED_HOTEL_PROPERTIES">"c8572"</definedName>
    <definedName name="IQ_HG_ACQUIRED_MANAGED_HOTEL_PROPERTIES">"c8590"</definedName>
    <definedName name="IQ_HG_ACQUIRED_MANAGED_ROOMS">"c8620"</definedName>
    <definedName name="IQ_HG_ACQUIRED_OTHER_HOTEL_PROPERTIES">"c8596"</definedName>
    <definedName name="IQ_HG_ACQUIRED_OTHER_ROOMS">"c8626"</definedName>
    <definedName name="IQ_HG_ACQUIRED_OWNED_HOTEL_PROPERTIES">"c8578"</definedName>
    <definedName name="IQ_HG_ACQUIRED_OWNED_ROOMS">"c8608"</definedName>
    <definedName name="IQ_HG_ACQUIRED_ROOMS">"c8602"</definedName>
    <definedName name="IQ_HG_ADR_CHANGE_FRANCHISE">"c8684"</definedName>
    <definedName name="IQ_HG_ADR_CHANGE_MANAGED">"c8685"</definedName>
    <definedName name="IQ_HG_ADR_CHANGE_OTHER">"c8686"</definedName>
    <definedName name="IQ_HG_ADR_CHANGE_OWNED">"c8683"</definedName>
    <definedName name="IQ_HG_ADR_CHANGE_OWNED_COMP">"c8709"</definedName>
    <definedName name="IQ_HG_ADR_CHANGE_TOTAL">"c8687"</definedName>
    <definedName name="IQ_HG_ADR_CHANGE_TOTAL_COMP">"c8710"</definedName>
    <definedName name="IQ_HG_ADR_FRANCHISE">"c8664"</definedName>
    <definedName name="IQ_HG_ADR_MANAGED">"c8665"</definedName>
    <definedName name="IQ_HG_ADR_OTHER">"c8666"</definedName>
    <definedName name="IQ_HG_ADR_OWNED">"c8663"</definedName>
    <definedName name="IQ_HG_ADR_OWNED_COMP">"c8701"</definedName>
    <definedName name="IQ_HG_ADR_TOTAL">"c8667"</definedName>
    <definedName name="IQ_HG_ADR_TOTAL_COMP">"c8702"</definedName>
    <definedName name="IQ_HG_CASINOS_JV">"c8631"</definedName>
    <definedName name="IQ_HG_CASINOS_MANAGED">"c8632"</definedName>
    <definedName name="IQ_HG_CASINOS_OWNED">"c8630"</definedName>
    <definedName name="IQ_HG_CASINOS_TOTAL">"c8633"</definedName>
    <definedName name="IQ_HG_CLOSED_FRANCHISE_HOTEL_PROPERTIES">"c8586"</definedName>
    <definedName name="IQ_HG_CLOSED_FRANCHISE_ROOMS">"c8616"</definedName>
    <definedName name="IQ_HG_CLOSED_HOTEL_PROPERTIES">"c8574"</definedName>
    <definedName name="IQ_HG_CLOSED_MANAGED_HOTEL_PROPERTIES">"c8592"</definedName>
    <definedName name="IQ_HG_CLOSED_MANAGED_ROOMS">"c8622"</definedName>
    <definedName name="IQ_HG_CLOSED_OTHER_HOTEL_PROPERTIES">"c8598"</definedName>
    <definedName name="IQ_HG_CLOSED_OTHER_ROOMS">"c8628"</definedName>
    <definedName name="IQ_HG_CLOSED_OWNED_HOTEL_PROPERTIES">"c8580"</definedName>
    <definedName name="IQ_HG_CLOSED_OWNED_ROOMS">"c8610"</definedName>
    <definedName name="IQ_HG_CLOSED_ROOMS">"c8604"</definedName>
    <definedName name="IQ_HG_EXP_CASINO">"c8733"</definedName>
    <definedName name="IQ_HG_EXP_DEVELOPMENT">"c8738"</definedName>
    <definedName name="IQ_HG_EXP_ENTERTAINMENT">"c8736"</definedName>
    <definedName name="IQ_HG_EXP_FOOD_BEV">"c8734"</definedName>
    <definedName name="IQ_HG_EXP_FRANCHISE_MANAGEMENT">"c8744"</definedName>
    <definedName name="IQ_HG_EXP_OTHER_MNGD_FRANCHISE_PROP">"c8742"</definedName>
    <definedName name="IQ_HG_EXP_OWNED_LEASED_CONSOL_JV">"c8740"</definedName>
    <definedName name="IQ_HG_EXP_REIMBURSEMENTS">"c8743"</definedName>
    <definedName name="IQ_HG_EXP_RETAIL">"c8737"</definedName>
    <definedName name="IQ_HG_EXP_ROOMS">"c8735"</definedName>
    <definedName name="IQ_HG_EXP_THEATRE_CONCESSION">"c8739"</definedName>
    <definedName name="IQ_HG_EXP_VACA_OWNERSHIP_RES">"c8741"</definedName>
    <definedName name="IQ_HG_FOOD_PROM_COSTS">"c8746"</definedName>
    <definedName name="IQ_HG_FRANCHISE_HOTEL_PROPERTIES_BEG">"c8582"</definedName>
    <definedName name="IQ_HG_FRANCHISE_ROOMS_BEG">"c8612"</definedName>
    <definedName name="IQ_HG_GAMING_SPACE_JV">"c8635"</definedName>
    <definedName name="IQ_HG_GAMING_SPACE_MANAGED">"c8636"</definedName>
    <definedName name="IQ_HG_GAMING_SPACE_OWNED">"c8634"</definedName>
    <definedName name="IQ_HG_GAMING_SPACE_TOTAL">"c8637"</definedName>
    <definedName name="IQ_HG_HOTEL_PROPERTIES_BEG">"c8570"</definedName>
    <definedName name="IQ_HG_LAND_AVAIL_JV">"c8647"</definedName>
    <definedName name="IQ_HG_LAND_AVAIL_MANAGED">"c8648"</definedName>
    <definedName name="IQ_HG_LAND_AVAIL_OWNED">"c8646"</definedName>
    <definedName name="IQ_HG_LAND_AVAIL_TOTAL">"c8649"</definedName>
    <definedName name="IQ_HG_LAND_JV">"c8651"</definedName>
    <definedName name="IQ_HG_LAND_MANAGED">"c8652"</definedName>
    <definedName name="IQ_HG_LAND_OWNED">"c8650"</definedName>
    <definedName name="IQ_HG_LAND_TOTAL">"c8653"</definedName>
    <definedName name="IQ_HG_MANAGED_HOTEL_PROPERTIES_BEG">"c8588"</definedName>
    <definedName name="IQ_HG_MANAGED_ROOMS_BEG">"c8618"</definedName>
    <definedName name="IQ_HG_OCCUPANCY_CHANGE_FRANCHISE">"c8675"</definedName>
    <definedName name="IQ_HG_OCCUPANCY_CHANGE_MANAGED">"c8677"</definedName>
    <definedName name="IQ_HG_OCCUPANCY_CHANGE_OTHER">"c8679"</definedName>
    <definedName name="IQ_HG_OCCUPANCY_CHANGE_OWNED">"c8673"</definedName>
    <definedName name="IQ_HG_OCCUPANCY_CHANGE_OWNED_COMP">"c8705"</definedName>
    <definedName name="IQ_HG_OCCUPANCY_CHANGE_TOTAL">"c8681"</definedName>
    <definedName name="IQ_HG_OCCUPANCY_CHANGE_TOTAL_COMP">"c8707"</definedName>
    <definedName name="IQ_HG_OCCUPANCY_FRANCHISE">"c8659"</definedName>
    <definedName name="IQ_HG_OCCUPANCY_INCDEC_FRANCHISE">"c8676"</definedName>
    <definedName name="IQ_HG_OCCUPANCY_INCDEC_MANAGED">"c8678"</definedName>
    <definedName name="IQ_HG_OCCUPANCY_INCDEC_OTHER">"c8680"</definedName>
    <definedName name="IQ_HG_OCCUPANCY_INCDEC_OWNED">"c8674"</definedName>
    <definedName name="IQ_HG_OCCUPANCY_INCDEC_OWNED_COMP">"c8706"</definedName>
    <definedName name="IQ_HG_OCCUPANCY_INCDEC_TOTAL">"c8682"</definedName>
    <definedName name="IQ_HG_OCCUPANCY_INCDEC_TOTAL_COMP">"c8708"</definedName>
    <definedName name="IQ_HG_OCCUPANCY_MANAGED">"c8660"</definedName>
    <definedName name="IQ_HG_OCCUPANCY_OTHER">"c8661"</definedName>
    <definedName name="IQ_HG_OCCUPANCY_OWNED">"c8658"</definedName>
    <definedName name="IQ_HG_OCCUPANCY_OWNED_COMP">"c8699"</definedName>
    <definedName name="IQ_HG_OCCUPANCY_TOTAL">"c8662"</definedName>
    <definedName name="IQ_HG_OCCUPANCY_TOTAL_COMP">"c8700"</definedName>
    <definedName name="IQ_HG_OPENED_FRANCHISE_HOTEL_PROPERTIES">"c8583"</definedName>
    <definedName name="IQ_HG_OPENED_FRANCHISE_ROOMS">"c8613"</definedName>
    <definedName name="IQ_HG_OPENED_HOTEL_PROPERTIES">"c8571"</definedName>
    <definedName name="IQ_HG_OPENED_MANAGED_HOTEL_PROPERTIES">"c8589"</definedName>
    <definedName name="IQ_HG_OPENED_MANAGED_ROOMS">"c8619"</definedName>
    <definedName name="IQ_HG_OPENED_OTHER_HOTEL_PROPERTIES">"c8595"</definedName>
    <definedName name="IQ_HG_OPENED_OTHER_ROOMS">"c8625"</definedName>
    <definedName name="IQ_HG_OPENED_OWNED_HOTEL_PROPERTIES">"c8577"</definedName>
    <definedName name="IQ_HG_OPENED_OWNED_ROOMS">"c8607"</definedName>
    <definedName name="IQ_HG_OPENED_ROOMS">"c8601"</definedName>
    <definedName name="IQ_HG_OTHER_HOTEL_PROPERTIES_BEG">"c8594"</definedName>
    <definedName name="IQ_HG_OTHER_PROM_COSTS">"c8747"</definedName>
    <definedName name="IQ_HG_OTHER_ROOMS_BEG">"c8624"</definedName>
    <definedName name="IQ_HG_OWNED_HOTEL_PROPERTIES_BEG">"c8576"</definedName>
    <definedName name="IQ_HG_OWNED_ROOMS_BEG">"c8606"</definedName>
    <definedName name="IQ_HG_PARKING_SPACES_JV">"c8655"</definedName>
    <definedName name="IQ_HG_PARKING_SPACES_MANAGED">"c8656"</definedName>
    <definedName name="IQ_HG_PARKING_SPACES_OWNED">"c8654"</definedName>
    <definedName name="IQ_HG_PARKING_SPACES_TOTAL">"c8657"</definedName>
    <definedName name="IQ_HG_REV_BASE_MANAGEMENT_FEES">"c8726"</definedName>
    <definedName name="IQ_HG_REV_CASINO">"c8713"</definedName>
    <definedName name="IQ_HG_REV_COST_REIMBURSEMENT">"c8728"</definedName>
    <definedName name="IQ_HG_REV_ENTERTAINMENT">"c8716"</definedName>
    <definedName name="IQ_HG_REV_FOOD_BEV">"c8714"</definedName>
    <definedName name="IQ_HG_REV_FRANCHISE">"c8725"</definedName>
    <definedName name="IQ_HG_REV_INCENTIVE_MANAGEMENT_FEES">"c8727"</definedName>
    <definedName name="IQ_HG_REV_MANAGEMENT_FEES">"c8718"</definedName>
    <definedName name="IQ_HG_REV_OTHER_MNGD_FRANCHISE_PROP">"c8730"</definedName>
    <definedName name="IQ_HG_REV_OTHER_OP_SEGMENT">"c8721"</definedName>
    <definedName name="IQ_HG_REV_OTHER_OWNERSHIP_MIX">"c8731"</definedName>
    <definedName name="IQ_HG_REV_OWNED_LEASED_CONSOL_JV_HOTELS">"c8724"</definedName>
    <definedName name="IQ_HG_REV_PROMOTIONAL_ALLOWANCE">"c8722"</definedName>
    <definedName name="IQ_HG_REV_RACING">"c8719"</definedName>
    <definedName name="IQ_HG_REV_RETAIL">"c8717"</definedName>
    <definedName name="IQ_HG_REV_ROOMS">"c8715"</definedName>
    <definedName name="IQ_HG_REV_THEATRE_CONCESSION">"c8720"</definedName>
    <definedName name="IQ_HG_REV_TOTAL_OP_SEGMENT">"c8723"</definedName>
    <definedName name="IQ_HG_REV_TOTAL_OWNERSHIP_MIX">"c8732"</definedName>
    <definedName name="IQ_HG_REV_VACA_OWNERSHIP_RES_SALES_SVCS">"c8729"</definedName>
    <definedName name="IQ_HG_REVENUES_CHANGE_OWNED_COMP">"c8697"</definedName>
    <definedName name="IQ_HG_REVENUES_CHANGE_TOTAL_COMP">"c8698"</definedName>
    <definedName name="IQ_HG_REVPAR_CHANGE_MANAGED">"c8690"</definedName>
    <definedName name="IQ_HG_REVPAR_CHANGE_OTHER">"c8691"</definedName>
    <definedName name="IQ_HG_REVPAR_CHANGE_OWNED">"c8688"</definedName>
    <definedName name="IQ_HG_REVPAR_CHANGE_OWNED_COMP">"c8711"</definedName>
    <definedName name="IQ_HG_REVPAR_CHANGE_TOTAL">"c8692"</definedName>
    <definedName name="IQ_HG_REVPAR_CHANGE_TOTAL_COMP">"c8712"</definedName>
    <definedName name="IQ_HG_REVPAR_CHNAGE_FRANCHISE">"c8689"</definedName>
    <definedName name="IQ_HG_REVPAR_FRANCHISE">"c8669"</definedName>
    <definedName name="IQ_HG_REVPAR_MANAGED">"c8670"</definedName>
    <definedName name="IQ_HG_REVPAR_OTHER">"c8671"</definedName>
    <definedName name="IQ_HG_REVPAR_OWNED">"c8668"</definedName>
    <definedName name="IQ_HG_REVPAR_OWNED_COMP">"c8703"</definedName>
    <definedName name="IQ_HG_REVPAR_TOTAL">"c8672"</definedName>
    <definedName name="IQ_HG_REVPAR_TOTAL_COMP">"c8704"</definedName>
    <definedName name="IQ_HG_ROOM_PROM_COSTS">"c8745"</definedName>
    <definedName name="IQ_HG_ROOMS_BEG">"c8600"</definedName>
    <definedName name="IQ_HG_SLOT_MACHINES_JV">"c8639"</definedName>
    <definedName name="IQ_HG_SLOT_MACHINES_MANAGED">"c8640"</definedName>
    <definedName name="IQ_HG_SLOT_MACHINES_OWNED">"c8638"</definedName>
    <definedName name="IQ_HG_SLOT_MACHINES_TOTAL">"c8641"</definedName>
    <definedName name="IQ_HG_SOLD_FRANCHISE_HOTEL_PROPERTIES">"c8585"</definedName>
    <definedName name="IQ_HG_SOLD_FRANCHISE_ROOMS">"c8615"</definedName>
    <definedName name="IQ_HG_SOLD_HOTEL_PROPERTIES">"c8573"</definedName>
    <definedName name="IQ_HG_SOLD_MANAGED_HOTEL_PROPERTIES">"c8591"</definedName>
    <definedName name="IQ_HG_SOLD_MANAGED_ROOMS">"c8621"</definedName>
    <definedName name="IQ_HG_SOLD_OTHER_HOTEL_PROPERTIES">"c8597"</definedName>
    <definedName name="IQ_HG_SOLD_OTHER_ROOMS">"c8627"</definedName>
    <definedName name="IQ_HG_SOLD_OWNED_HOTEL_PROPERTIES">"c8579"</definedName>
    <definedName name="IQ_HG_SOLD_OWNED_ROOMS">"c8609"</definedName>
    <definedName name="IQ_HG_SOLD_ROOMS">"c8603"</definedName>
    <definedName name="IQ_HG_TABLE_GAMES_JV">"c8643"</definedName>
    <definedName name="IQ_HG_TABLE_GAMES_MANAGED">"c8644"</definedName>
    <definedName name="IQ_HG_TABLE_GAMES_OWNED">"c8642"</definedName>
    <definedName name="IQ_HG_TABLE_GAMES_TOTAL">"c8645"</definedName>
    <definedName name="IQ_HG_TOTAL_FRANCHISE_HOTEL_PROPERTIES">"c8587"</definedName>
    <definedName name="IQ_HG_TOTAL_FRANCHISE_ROOMS">"c8617"</definedName>
    <definedName name="IQ_HG_TOTAL_HOTEL_PROPERTIES">"c8575"</definedName>
    <definedName name="IQ_HG_TOTAL_MANAGED_HOTEL_PROPERTIES">"c8593"</definedName>
    <definedName name="IQ_HG_TOTAL_MANAGED_ROOMS">"c8623"</definedName>
    <definedName name="IQ_HG_TOTAL_OTHER_HOTEL_PROPERTIES">"c8599"</definedName>
    <definedName name="IQ_HG_TOTAL_OTHER_ROOMS">"c8629"</definedName>
    <definedName name="IQ_HG_TOTAL_OWNED_HOTEL_PROPERTIES">"c8581"</definedName>
    <definedName name="IQ_HG_TOTAL_OWNED_PROPERTIES_COMP">"c8693"</definedName>
    <definedName name="IQ_HG_TOTAL_OWNED_ROOMS">"c8611"</definedName>
    <definedName name="IQ_HG_TOTAL_OWNED_ROOMS_COMP">"c8695"</definedName>
    <definedName name="IQ_HG_TOTAL_PROM_COSTS">"c8748"</definedName>
    <definedName name="IQ_HG_TOTAL_PROPERTIES_COMP">"c8694"</definedName>
    <definedName name="IQ_HG_TOTAL_ROOMS">"c8605"</definedName>
    <definedName name="IQ_HG_TOTAL_ROOMS_COMP">"c8696"</definedName>
    <definedName name="IQ_HIGH_LOW_CLOSEPRICE_DATE">"c1204"</definedName>
    <definedName name="IQ_HIGH_TARGET_PRICE">"c1651"</definedName>
    <definedName name="IQ_HIGH_TARGET_PRICE_CIQ">"c4659"</definedName>
    <definedName name="IQ_HIGHPRICE">"c545"</definedName>
    <definedName name="IQ_HOLDER_CIQID">"c13787"</definedName>
    <definedName name="IQ_HOLDER_CIQID_SECURITY">"c13794"</definedName>
    <definedName name="IQ_HOLDER_DERIVATIVES">"c13789"</definedName>
    <definedName name="IQ_HOLDER_DERIVATIVES_SECURITY">"c13796"</definedName>
    <definedName name="IQ_HOLDER_NAME">"c13786"</definedName>
    <definedName name="IQ_HOLDER_NAME_SECURITY">"c13793"</definedName>
    <definedName name="IQ_HOLDER_PERCENT">"c13790"</definedName>
    <definedName name="IQ_HOLDER_PERCENT_SECURITY">"c13831"</definedName>
    <definedName name="IQ_HOLDER_POSITION_DATE">"c13792"</definedName>
    <definedName name="IQ_HOLDER_POSITION_DATE_SECURITY">"c13798"</definedName>
    <definedName name="IQ_HOLDER_SHARES">"c13788"</definedName>
    <definedName name="IQ_HOLDER_SHARES_SECURITY">"c13795"</definedName>
    <definedName name="IQ_HOLDER_VALUE">"c13791"</definedName>
    <definedName name="IQ_HOLDER_VALUE_SECURITY">"c13797"</definedName>
    <definedName name="IQ_HOLDING_CIQID">"c13802"</definedName>
    <definedName name="IQ_HOLDING_NAME">"c13799"</definedName>
    <definedName name="IQ_HOLDING_PERCENT">"c13805"</definedName>
    <definedName name="IQ_HOLDING_PERCENT_PORTFOLIO">"c13806"</definedName>
    <definedName name="IQ_HOLDING_POSITION_DATE">"c13808"</definedName>
    <definedName name="IQ_HOLDING_SECURITY_TYPE">"c13803"</definedName>
    <definedName name="IQ_HOLDING_SHARES">"c13804"</definedName>
    <definedName name="IQ_HOLDING_TICKER">"c13800"</definedName>
    <definedName name="IQ_HOLDING_TRADING_ITEM_CIQID">"c13801"</definedName>
    <definedName name="IQ_HOLDING_VALUE">"c13807"</definedName>
    <definedName name="IQ_HOME_AVG_LOAN_SIZE">"c5911"</definedName>
    <definedName name="IQ_HOME_BACKLOG">"c5844"</definedName>
    <definedName name="IQ_HOME_BACKLOG_AVG_JV">"c5848"</definedName>
    <definedName name="IQ_HOME_BACKLOG_AVG_JV_GROWTH">"c5928"</definedName>
    <definedName name="IQ_HOME_BACKLOG_AVG_JV_INC">"c5851"</definedName>
    <definedName name="IQ_HOME_BACKLOG_AVG_JV_INC_GROWTH">"c5931"</definedName>
    <definedName name="IQ_HOME_BACKLOG_AVG_PRICE">"c5845"</definedName>
    <definedName name="IQ_HOME_BACKLOG_AVG_PRICE_GROWTH">"c5925"</definedName>
    <definedName name="IQ_HOME_BACKLOG_GROWTH">"c5924"</definedName>
    <definedName name="IQ_HOME_BACKLOG_JV">"c5847"</definedName>
    <definedName name="IQ_HOME_BACKLOG_JV_GROWTH">"c5927"</definedName>
    <definedName name="IQ_HOME_BACKLOG_JV_INC">"c5850"</definedName>
    <definedName name="IQ_HOME_BACKLOG_JV_INC_GROWTH">"c5930"</definedName>
    <definedName name="IQ_HOME_BACKLOG_VALUE">"c5846"</definedName>
    <definedName name="IQ_HOME_BACKLOG_VALUE_GROWTH">"c5926"</definedName>
    <definedName name="IQ_HOME_BACKLOG_VALUE_JV">"c5849"</definedName>
    <definedName name="IQ_HOME_BACKLOG_VALUE_JV_GROWTH">"c5929"</definedName>
    <definedName name="IQ_HOME_BACKLOG_VALUE_JV_INC">"c5852"</definedName>
    <definedName name="IQ_HOME_BACKLOG_VALUE_JV_INC_GROWTH">"c5932"</definedName>
    <definedName name="IQ_HOME_COMMUNITIES_ACTIVE">"c5862"</definedName>
    <definedName name="IQ_HOME_COMMUNITIES_ACTIVE_GROWTH">"c5942"</definedName>
    <definedName name="IQ_HOME_COMMUNITIES_ACTIVE_JV">"c5863"</definedName>
    <definedName name="IQ_HOME_COMMUNITIES_ACTIVE_JV_GROWTH">"c5943"</definedName>
    <definedName name="IQ_HOME_COMMUNITIES_ACTIVE_JV_INC">"c5864"</definedName>
    <definedName name="IQ_HOME_COMMUNITIES_ACTIVE_JV_INC_GROWTH">"c5944"</definedName>
    <definedName name="IQ_HOME_COST_CONSTRUCTION_SVCS">"c5882"</definedName>
    <definedName name="IQ_HOME_COST_ELIMINATIONS_OTHER">"c5883"</definedName>
    <definedName name="IQ_HOME_COST_FINANCIAL_SVCS">"c5881"</definedName>
    <definedName name="IQ_HOME_COST_HOUSING">"c5877"</definedName>
    <definedName name="IQ_HOME_COST_LAND_LOT">"c5878"</definedName>
    <definedName name="IQ_HOME_COST_OTHER_HOMEBUILDING">"c5879"</definedName>
    <definedName name="IQ_HOME_COST_TOTAL">"c5884"</definedName>
    <definedName name="IQ_HOME_COST_TOTAL_HOMEBUILDING">"c5880"</definedName>
    <definedName name="IQ_HOME_DELIVERED">"c5835"</definedName>
    <definedName name="IQ_HOME_DELIVERED_AVG_PRICE">"c5836"</definedName>
    <definedName name="IQ_HOME_DELIVERED_AVG_PRICE_GROWTH">"c5916"</definedName>
    <definedName name="IQ_HOME_DELIVERED_AVG_PRICE_JV">"c5839"</definedName>
    <definedName name="IQ_HOME_DELIVERED_AVG_PRICE_JV_GROWTH">"c5919"</definedName>
    <definedName name="IQ_HOME_DELIVERED_AVG_PRICE_JV_INC">"c5842"</definedName>
    <definedName name="IQ_HOME_DELIVERED_AVG_PRICE_JV_INC_GROWTH">"c5922"</definedName>
    <definedName name="IQ_HOME_DELIVERED_GROWTH">"c5915"</definedName>
    <definedName name="IQ_HOME_DELIVERED_JV">"c5838"</definedName>
    <definedName name="IQ_HOME_DELIVERED_JV_GROWTH">"c5918"</definedName>
    <definedName name="IQ_HOME_DELIVERED_JV_INC">"c5841"</definedName>
    <definedName name="IQ_HOME_DELIVERED_JV_INC_GROWTH">"c5921"</definedName>
    <definedName name="IQ_HOME_DELIVERED_VALUE">"c5837"</definedName>
    <definedName name="IQ_HOME_DELIVERED_VALUE_GROWTH">"c5917"</definedName>
    <definedName name="IQ_HOME_DELIVERED_VALUE_JV">"c5840"</definedName>
    <definedName name="IQ_HOME_DELIVERED_VALUE_JV_GROWTH">"c5920"</definedName>
    <definedName name="IQ_HOME_DELIVERED_VALUE_JV_INC">"c5843"</definedName>
    <definedName name="IQ_HOME_DELIVERED_VALUE_JV_INC_GROWTH">"c5923"</definedName>
    <definedName name="IQ_HOME_EQUITY_LOANS_TOT_LOANS_FFIEC">"c13867"</definedName>
    <definedName name="IQ_HOME_EQUITY_LOC_NET_CHARGE_OFFS_FDIC">"c6644"</definedName>
    <definedName name="IQ_HOME_EQUITY_LOC_TOTAL_CHARGE_OFFS_FDIC">"c6606"</definedName>
    <definedName name="IQ_HOME_EQUITY_LOC_TOTAL_RECOVERIES_FDIC">"c6625"</definedName>
    <definedName name="IQ_HOME_FINISHED_HOMES_CIP">"c5865"</definedName>
    <definedName name="IQ_HOME_FIRSTLIEN_MORT_ORIGINATED">"c5905"</definedName>
    <definedName name="IQ_HOME_FIRSTLIEN_MORT_ORIGINATED_VOL">"c5908"</definedName>
    <definedName name="IQ_HOME_HUC">"c5822"</definedName>
    <definedName name="IQ_HOME_HUC_JV">"c5823"</definedName>
    <definedName name="IQ_HOME_HUC_JV_INC">"c5824"</definedName>
    <definedName name="IQ_HOME_INV_NOT_OWNED">"c5868"</definedName>
    <definedName name="IQ_HOME_LAND_DEVELOPMENT">"c5866"</definedName>
    <definedName name="IQ_HOME_LAND_FUTURE_DEVELOPMENT">"c5867"</definedName>
    <definedName name="IQ_HOME_LOAN_APPLICATIONS">"c5910"</definedName>
    <definedName name="IQ_HOME_LOANS_SOLD_COUNT">"c5912"</definedName>
    <definedName name="IQ_HOME_LOANS_SOLD_VALUE">"c5913"</definedName>
    <definedName name="IQ_HOME_LOTS_CONTROLLED">"c5831"</definedName>
    <definedName name="IQ_HOME_LOTS_FINISHED">"c5827"</definedName>
    <definedName name="IQ_HOME_LOTS_HELD_SALE">"c5830"</definedName>
    <definedName name="IQ_HOME_LOTS_JV">"c5833"</definedName>
    <definedName name="IQ_HOME_LOTS_JV_INC">"c5834"</definedName>
    <definedName name="IQ_HOME_LOTS_OTHER">"c5832"</definedName>
    <definedName name="IQ_HOME_LOTS_OWNED">"c5828"</definedName>
    <definedName name="IQ_HOME_LOTS_UNDER_DEVELOPMENT">"c5826"</definedName>
    <definedName name="IQ_HOME_LOTS_UNDER_OPTION">"c5829"</definedName>
    <definedName name="IQ_HOME_LOTS_UNDEVELOPED">"c5825"</definedName>
    <definedName name="IQ_HOME_MORT_CAPTURE_RATE">"c5906"</definedName>
    <definedName name="IQ_HOME_MORT_ORIGINATED">"c5907"</definedName>
    <definedName name="IQ_HOME_OBLIGATIONS_INV_NOT_OWNED">"c5914"</definedName>
    <definedName name="IQ_HOME_ORDERS">"c5853"</definedName>
    <definedName name="IQ_HOME_ORDERS_AVG_PRICE">"c5854"</definedName>
    <definedName name="IQ_HOME_ORDERS_AVG_PRICE_GROWTH">"c5934"</definedName>
    <definedName name="IQ_HOME_ORDERS_AVG_PRICE_JV">"c5857"</definedName>
    <definedName name="IQ_HOME_ORDERS_AVG_PRICE_JV_GROWTH">"c5937"</definedName>
    <definedName name="IQ_HOME_ORDERS_AVG_PRICE_JV_INC">"c5860"</definedName>
    <definedName name="IQ_HOME_ORDERS_AVG_PRICE_JV_INC_GROWTH">"c5940"</definedName>
    <definedName name="IQ_HOME_ORDERS_GROWTH">"c5933"</definedName>
    <definedName name="IQ_HOME_ORDERS_JV">"c5856"</definedName>
    <definedName name="IQ_HOME_ORDERS_JV_GROWTH">"c5936"</definedName>
    <definedName name="IQ_HOME_ORDERS_JV_INC">"c5859"</definedName>
    <definedName name="IQ_HOME_ORDERS_JV_INC_GROWTH">"c5939"</definedName>
    <definedName name="IQ_HOME_ORDERS_VALUE">"c5855"</definedName>
    <definedName name="IQ_HOME_ORDERS_VALUE_GROWTH">"c5935"</definedName>
    <definedName name="IQ_HOME_ORDERS_VALUE_JV">"c5858"</definedName>
    <definedName name="IQ_HOME_ORDERS_VALUE_JV_GROWTH">"c5938"</definedName>
    <definedName name="IQ_HOME_ORDERS_VALUE_JV_INC">"c5861"</definedName>
    <definedName name="IQ_HOME_ORDERS_VALUE_JV_INC_GROWTH">"c5941"</definedName>
    <definedName name="IQ_HOME_ORIGINATION_TOTAL">"c5909"</definedName>
    <definedName name="IQ_HOME_PRETAX_INC_CONSTRUCTION_SVCS">"c5890"</definedName>
    <definedName name="IQ_HOME_PRETAX_INC_ELIMINATIONS_OTHER">"c5891"</definedName>
    <definedName name="IQ_HOME_PRETAX_INC_FINANCIAL_SVCS">"c5889"</definedName>
    <definedName name="IQ_HOME_PRETAX_INC_HOUSING">"c5885"</definedName>
    <definedName name="IQ_HOME_PRETAX_INC_LAND_LOT">"c5886"</definedName>
    <definedName name="IQ_HOME_PRETAX_INC_OTHER_HOMEBUILDING">"c5887"</definedName>
    <definedName name="IQ_HOME_PRETAX_INC_TOTAL">"c5892"</definedName>
    <definedName name="IQ_HOME_PRETAX_INC_TOTAL_HOMEBUILDING">"c5888"</definedName>
    <definedName name="IQ_HOME_PURCH_OBLIGATION_1YR">"c5898"</definedName>
    <definedName name="IQ_HOME_PURCH_OBLIGATION_2YR">"c5899"</definedName>
    <definedName name="IQ_HOME_PURCH_OBLIGATION_3YR">"c5900"</definedName>
    <definedName name="IQ_HOME_PURCH_OBLIGATION_4YR">"c5901"</definedName>
    <definedName name="IQ_HOME_PURCH_OBLIGATION_5YR">"c5902"</definedName>
    <definedName name="IQ_HOME_PURCH_OBLIGATION_AFTER5">"c5903"</definedName>
    <definedName name="IQ_HOME_PURCH_OBLIGATION_TOTAL">"c5904"</definedName>
    <definedName name="IQ_HOME_REV_CONSTRUCTION_SERVICES">"c5874"</definedName>
    <definedName name="IQ_HOME_REV_ELIMINATIONS_OTHER">"c5875"</definedName>
    <definedName name="IQ_HOME_REV_FINANCIAL_SERVICES">"c5873"</definedName>
    <definedName name="IQ_HOME_REV_HOUSING">"c5872"</definedName>
    <definedName name="IQ_HOME_REV_LAND_LOT">"c5870"</definedName>
    <definedName name="IQ_HOME_REV_OTHER_HOMEBUILDING">"c5871"</definedName>
    <definedName name="IQ_HOME_REV_TOTAL">"c5876"</definedName>
    <definedName name="IQ_HOME_SALES_NEW">"c6924"</definedName>
    <definedName name="IQ_HOME_SALES_NEW_APR">"c7584"</definedName>
    <definedName name="IQ_HOME_SALES_NEW_APR_FC">"c8464"</definedName>
    <definedName name="IQ_HOME_SALES_NEW_FC">"c7804"</definedName>
    <definedName name="IQ_HOME_SALES_NEW_POP">"c7144"</definedName>
    <definedName name="IQ_HOME_SALES_NEW_POP_FC">"c8024"</definedName>
    <definedName name="IQ_HOME_SALES_NEW_YOY">"c7364"</definedName>
    <definedName name="IQ_HOME_SALES_NEW_YOY_FC">"c8244"</definedName>
    <definedName name="IQ_HOME_TOTAL_INV">"c5869"</definedName>
    <definedName name="IQ_HOME_WARRANTY_RES_BEG">"c5893"</definedName>
    <definedName name="IQ_HOME_WARRANTY_RES_END">"c5897"</definedName>
    <definedName name="IQ_HOME_WARRANTY_RES_ISS">"c5894"</definedName>
    <definedName name="IQ_HOME_WARRANTY_RES_OTHER">"c5896"</definedName>
    <definedName name="IQ_HOME_WARRANTY_RES_PAY">"c5895"</definedName>
    <definedName name="IQ_HOMEOWNERS_WRITTEN">"c546"</definedName>
    <definedName name="IQ_HOURLY_COMP">"c6879"</definedName>
    <definedName name="IQ_HOURLY_COMP_APR">"c7539"</definedName>
    <definedName name="IQ_HOURLY_COMP_APR_FC">"c8419"</definedName>
    <definedName name="IQ_HOURLY_COMP_FC">"c7759"</definedName>
    <definedName name="IQ_HOURLY_COMP_POP">"c7099"</definedName>
    <definedName name="IQ_HOURLY_COMP_POP_FC">"c7979"</definedName>
    <definedName name="IQ_HOURLY_COMP_YOY">"c7319"</definedName>
    <definedName name="IQ_HOURLY_COMP_YOY_FC">"c8199"</definedName>
    <definedName name="IQ_HOUSING_COMPLETIONS">"c6881"</definedName>
    <definedName name="IQ_HOUSING_COMPLETIONS_APR">"c7541"</definedName>
    <definedName name="IQ_HOUSING_COMPLETIONS_APR_FC">"c8421"</definedName>
    <definedName name="IQ_HOUSING_COMPLETIONS_FC">"c7761"</definedName>
    <definedName name="IQ_HOUSING_COMPLETIONS_POP">"c7101"</definedName>
    <definedName name="IQ_HOUSING_COMPLETIONS_POP_FC">"c7981"</definedName>
    <definedName name="IQ_HOUSING_COMPLETIONS_SINGLE_FAM_APR_FC_UNUSED">"c8422"</definedName>
    <definedName name="IQ_HOUSING_COMPLETIONS_SINGLE_FAM_APR_FC_UNUSED_UNUSED_UNUSED">"c8422"</definedName>
    <definedName name="IQ_HOUSING_COMPLETIONS_SINGLE_FAM_APR_UNUSED">"c7542"</definedName>
    <definedName name="IQ_HOUSING_COMPLETIONS_SINGLE_FAM_APR_UNUSED_UNUSED_UNUSED">"c7542"</definedName>
    <definedName name="IQ_HOUSING_COMPLETIONS_SINGLE_FAM_FC_UNUSED">"c7762"</definedName>
    <definedName name="IQ_HOUSING_COMPLETIONS_SINGLE_FAM_FC_UNUSED_UNUSED_UNUSED">"c7762"</definedName>
    <definedName name="IQ_HOUSING_COMPLETIONS_SINGLE_FAM_POP_FC_UNUSED">"c7982"</definedName>
    <definedName name="IQ_HOUSING_COMPLETIONS_SINGLE_FAM_POP_FC_UNUSED_UNUSED_UNUSED">"c7982"</definedName>
    <definedName name="IQ_HOUSING_COMPLETIONS_SINGLE_FAM_POP_UNUSED">"c7102"</definedName>
    <definedName name="IQ_HOUSING_COMPLETIONS_SINGLE_FAM_POP_UNUSED_UNUSED_UNUSED">"c7102"</definedName>
    <definedName name="IQ_HOUSING_COMPLETIONS_SINGLE_FAM_UNUSED">"c6882"</definedName>
    <definedName name="IQ_HOUSING_COMPLETIONS_SINGLE_FAM_UNUSED_UNUSED_UNUSED">"c6882"</definedName>
    <definedName name="IQ_HOUSING_COMPLETIONS_SINGLE_FAM_YOY_FC_UNUSED">"c8202"</definedName>
    <definedName name="IQ_HOUSING_COMPLETIONS_SINGLE_FAM_YOY_FC_UNUSED_UNUSED_UNUSED">"c8202"</definedName>
    <definedName name="IQ_HOUSING_COMPLETIONS_SINGLE_FAM_YOY_UNUSED">"c7322"</definedName>
    <definedName name="IQ_HOUSING_COMPLETIONS_SINGLE_FAM_YOY_UNUSED_UNUSED_UNUSED">"c7322"</definedName>
    <definedName name="IQ_HOUSING_COMPLETIONS_YOY">"c7321"</definedName>
    <definedName name="IQ_HOUSING_COMPLETIONS_YOY_FC">"c8201"</definedName>
    <definedName name="IQ_HOUSING_PERMITS">"c6883"</definedName>
    <definedName name="IQ_HOUSING_PERMITS_APR">"c7543"</definedName>
    <definedName name="IQ_HOUSING_PERMITS_APR_FC">"c8423"</definedName>
    <definedName name="IQ_HOUSING_PERMITS_FC">"c7763"</definedName>
    <definedName name="IQ_HOUSING_PERMITS_POP">"c7103"</definedName>
    <definedName name="IQ_HOUSING_PERMITS_POP_FC">"c7983"</definedName>
    <definedName name="IQ_HOUSING_PERMITS_YOY">"c7323"</definedName>
    <definedName name="IQ_HOUSING_PERMITS_YOY_FC">"c8203"</definedName>
    <definedName name="IQ_HOUSING_STARTS">"c6884"</definedName>
    <definedName name="IQ_HOUSING_STARTS_APR">"c7544"</definedName>
    <definedName name="IQ_HOUSING_STARTS_APR_FC">"c8424"</definedName>
    <definedName name="IQ_HOUSING_STARTS_FC">"c7764"</definedName>
    <definedName name="IQ_HOUSING_STARTS_POP">"c7104"</definedName>
    <definedName name="IQ_HOUSING_STARTS_POP_FC">"c7984"</definedName>
    <definedName name="IQ_HOUSING_STARTS_SAAR">"c6885"</definedName>
    <definedName name="IQ_HOUSING_STARTS_SAAR_APR">"c7545"</definedName>
    <definedName name="IQ_HOUSING_STARTS_SAAR_APR_FC">"c8425"</definedName>
    <definedName name="IQ_HOUSING_STARTS_SAAR_FC">"c7765"</definedName>
    <definedName name="IQ_HOUSING_STARTS_SAAR_POP">"c7105"</definedName>
    <definedName name="IQ_HOUSING_STARTS_SAAR_POP_FC">"c7985"</definedName>
    <definedName name="IQ_HOUSING_STARTS_SAAR_YOY">"c7325"</definedName>
    <definedName name="IQ_HOUSING_STARTS_SAAR_YOY_FC">"c8205"</definedName>
    <definedName name="IQ_HOUSING_STARTS_YOY">"c7324"</definedName>
    <definedName name="IQ_HOUSING_STARTS_YOY_FC">"c8204"</definedName>
    <definedName name="IQ_HRS_WORKED_FULL_PT">"c6880"</definedName>
    <definedName name="IQ_HRS_WORKED_FULL_PT_APR">"c7540"</definedName>
    <definedName name="IQ_HRS_WORKED_FULL_PT_APR_FC">"c8420"</definedName>
    <definedName name="IQ_HRS_WORKED_FULL_PT_FC">"c7760"</definedName>
    <definedName name="IQ_HRS_WORKED_FULL_PT_POP">"c7100"</definedName>
    <definedName name="IQ_HRS_WORKED_FULL_PT_POP_FC">"c7980"</definedName>
    <definedName name="IQ_HRS_WORKED_FULL_PT_YOY">"c7320"</definedName>
    <definedName name="IQ_HRS_WORKED_FULL_PT_YOY_FC">"c8200"</definedName>
    <definedName name="IQ_HTM_INVEST_SECURITIES_FFIEC">"c13455"</definedName>
    <definedName name="IQ_HTM_SECURITIES_TIER_1_FFIEC">"c13342"</definedName>
    <definedName name="IQ_HYBRID_CAPITAL">"c15245"</definedName>
    <definedName name="IQ_HYBRID_STRUCTURED_PRODUCTS_AVAIL_SALE_FFIEC">"c15265"</definedName>
    <definedName name="IQ_HYBRID_STRUCTURED_PRODUCTS_FFIEC">"c15262"</definedName>
    <definedName name="IQ_IB_ADVISORY_UNDERWRITING_FEES_FOREIGN_FFIEC">"c15378"</definedName>
    <definedName name="IQ_IBF_COMM_INDUST_LOANS_FFIEC">"c15298"</definedName>
    <definedName name="IQ_IBF_DEPOSIT_LIABILITIES_DUE_TO_BANKS_FFIEC">"c15300"</definedName>
    <definedName name="IQ_IM_AVG_REV_PER_CLICK">"c9991"</definedName>
    <definedName name="IQ_IM_NUMBER_PAGE_VIEWS">"c9993"</definedName>
    <definedName name="IQ_IM_NUMBER_PAID_CLICKS">"c9995"</definedName>
    <definedName name="IQ_IM_NUMBER_PAID_CLICKS_GROWTH">"c9996"</definedName>
    <definedName name="IQ_IM_PAGE_VIEWS_GROWTH">"c9994"</definedName>
    <definedName name="IQ_IM_REV_PER_PAGE_VIEW_GROWTH">"c9992"</definedName>
    <definedName name="IQ_IM_TRAFFIC_ACQUISITION_CHANGE">"c9998"</definedName>
    <definedName name="IQ_IM_TRAFFIC_ACQUISITION_COST_TO_AD_REV_RATIO">"c10000"</definedName>
    <definedName name="IQ_IM_TRAFFIC_ACQUISITION_COST_TO_TOTAL_REV_RATIO">"c9999"</definedName>
    <definedName name="IQ_IM_TRAFFIC_ACQUISITION_COSTS">"c9997"</definedName>
    <definedName name="IQ_IMPAIR_OIL">"c547"</definedName>
    <definedName name="IQ_IMPAIRED_LOANS">"c15250"</definedName>
    <definedName name="IQ_IMPAIRMENT_GW">"c548"</definedName>
    <definedName name="IQ_IMPAIRMENT_GW_SUPPLE">"c13811"</definedName>
    <definedName name="IQ_IMPORT_PRICE_INDEX">"c6886"</definedName>
    <definedName name="IQ_IMPORT_PRICE_INDEX_APR">"c7546"</definedName>
    <definedName name="IQ_IMPORT_PRICE_INDEX_APR_FC">"c8426"</definedName>
    <definedName name="IQ_IMPORT_PRICE_INDEX_FC">"c7766"</definedName>
    <definedName name="IQ_IMPORT_PRICE_INDEX_POP">"c7106"</definedName>
    <definedName name="IQ_IMPORT_PRICE_INDEX_POP_FC">"c7986"</definedName>
    <definedName name="IQ_IMPORT_PRICE_INDEX_YOY">"c7326"</definedName>
    <definedName name="IQ_IMPORT_PRICE_INDEX_YOY_FC">"c8206"</definedName>
    <definedName name="IQ_IMPORTS_GOODS">"c6887"</definedName>
    <definedName name="IQ_IMPORTS_GOODS_APR">"c7547"</definedName>
    <definedName name="IQ_IMPORTS_GOODS_APR_FC">"c8427"</definedName>
    <definedName name="IQ_IMPORTS_GOODS_FC">"c7767"</definedName>
    <definedName name="IQ_IMPORTS_GOODS_NONFACTOR_SERVICES">"c6888"</definedName>
    <definedName name="IQ_IMPORTS_GOODS_NONFACTOR_SERVICES_APR">"c7548"</definedName>
    <definedName name="IQ_IMPORTS_GOODS_NONFACTOR_SERVICES_APR_FC">"c8428"</definedName>
    <definedName name="IQ_IMPORTS_GOODS_NONFACTOR_SERVICES_FC">"c7768"</definedName>
    <definedName name="IQ_IMPORTS_GOODS_NONFACTOR_SERVICES_POP">"c7108"</definedName>
    <definedName name="IQ_IMPORTS_GOODS_NONFACTOR_SERVICES_POP_FC">"c7988"</definedName>
    <definedName name="IQ_IMPORTS_GOODS_NONFACTOR_SERVICES_YOY">"c7328"</definedName>
    <definedName name="IQ_IMPORTS_GOODS_NONFACTOR_SERVICES_YOY_FC">"c8208"</definedName>
    <definedName name="IQ_IMPORTS_GOODS_POP">"c7107"</definedName>
    <definedName name="IQ_IMPORTS_GOODS_POP_FC">"c7987"</definedName>
    <definedName name="IQ_IMPORTS_GOODS_REAL">"c11950"</definedName>
    <definedName name="IQ_IMPORTS_GOODS_REAL_APR">"c11953"</definedName>
    <definedName name="IQ_IMPORTS_GOODS_REAL_POP">"c11951"</definedName>
    <definedName name="IQ_IMPORTS_GOODS_REAL_SAAR_APR_FC_UNUSED">"c8523"</definedName>
    <definedName name="IQ_IMPORTS_GOODS_REAL_SAAR_APR_FC_UNUSED_UNUSED_UNUSED">"c8523"</definedName>
    <definedName name="IQ_IMPORTS_GOODS_REAL_SAAR_APR_UNUSED">"c7643"</definedName>
    <definedName name="IQ_IMPORTS_GOODS_REAL_SAAR_APR_UNUSED_UNUSED_UNUSED">"c7643"</definedName>
    <definedName name="IQ_IMPORTS_GOODS_REAL_SAAR_FC_UNUSED">"c7863"</definedName>
    <definedName name="IQ_IMPORTS_GOODS_REAL_SAAR_FC_UNUSED_UNUSED_UNUSED">"c7863"</definedName>
    <definedName name="IQ_IMPORTS_GOODS_REAL_SAAR_POP_FC_UNUSED">"c8083"</definedName>
    <definedName name="IQ_IMPORTS_GOODS_REAL_SAAR_POP_FC_UNUSED_UNUSED_UNUSED">"c8083"</definedName>
    <definedName name="IQ_IMPORTS_GOODS_REAL_SAAR_POP_UNUSED">"c7203"</definedName>
    <definedName name="IQ_IMPORTS_GOODS_REAL_SAAR_POP_UNUSED_UNUSED_UNUSED">"c7203"</definedName>
    <definedName name="IQ_IMPORTS_GOODS_REAL_SAAR_UNUSED">"c6983"</definedName>
    <definedName name="IQ_IMPORTS_GOODS_REAL_SAAR_UNUSED_UNUSED_UNUSED">"c6983"</definedName>
    <definedName name="IQ_IMPORTS_GOODS_REAL_SAAR_YOY_FC_UNUSED">"c8303"</definedName>
    <definedName name="IQ_IMPORTS_GOODS_REAL_SAAR_YOY_FC_UNUSED_UNUSED_UNUSED">"c8303"</definedName>
    <definedName name="IQ_IMPORTS_GOODS_REAL_SAAR_YOY_UNUSED">"c7423"</definedName>
    <definedName name="IQ_IMPORTS_GOODS_REAL_SAAR_YOY_UNUSED_UNUSED_UNUSED">"c7423"</definedName>
    <definedName name="IQ_IMPORTS_GOODS_REAL_YOY">"c11952"</definedName>
    <definedName name="IQ_IMPORTS_GOODS_SAAR">"c6891"</definedName>
    <definedName name="IQ_IMPORTS_GOODS_SAAR_APR">"c7551"</definedName>
    <definedName name="IQ_IMPORTS_GOODS_SAAR_APR_FC">"c8431"</definedName>
    <definedName name="IQ_IMPORTS_GOODS_SAAR_FC">"c7771"</definedName>
    <definedName name="IQ_IMPORTS_GOODS_SAAR_POP">"c7111"</definedName>
    <definedName name="IQ_IMPORTS_GOODS_SAAR_POP_FC">"c7991"</definedName>
    <definedName name="IQ_IMPORTS_GOODS_SAAR_USD_APR_FC">"c11849"</definedName>
    <definedName name="IQ_IMPORTS_GOODS_SAAR_USD_FC">"c11846"</definedName>
    <definedName name="IQ_IMPORTS_GOODS_SAAR_USD_POP_FC">"c11847"</definedName>
    <definedName name="IQ_IMPORTS_GOODS_SAAR_USD_YOY_FC">"c11848"</definedName>
    <definedName name="IQ_IMPORTS_GOODS_SAAR_YOY">"c7331"</definedName>
    <definedName name="IQ_IMPORTS_GOODS_SAAR_YOY_FC">"c8211"</definedName>
    <definedName name="IQ_IMPORTS_GOODS_SERVICES_APR_FC_UNUSED">"c8429"</definedName>
    <definedName name="IQ_IMPORTS_GOODS_SERVICES_APR_FC_UNUSED_UNUSED_UNUSED">"c8429"</definedName>
    <definedName name="IQ_IMPORTS_GOODS_SERVICES_APR_UNUSED">"c7549"</definedName>
    <definedName name="IQ_IMPORTS_GOODS_SERVICES_APR_UNUSED_UNUSED_UNUSED">"c7549"</definedName>
    <definedName name="IQ_IMPORTS_GOODS_SERVICES_FC_UNUSED">"c7769"</definedName>
    <definedName name="IQ_IMPORTS_GOODS_SERVICES_FC_UNUSED_UNUSED_UNUSED">"c7769"</definedName>
    <definedName name="IQ_IMPORTS_GOODS_SERVICES_POP_FC_UNUSED">"c7989"</definedName>
    <definedName name="IQ_IMPORTS_GOODS_SERVICES_POP_FC_UNUSED_UNUSED_UNUSED">"c7989"</definedName>
    <definedName name="IQ_IMPORTS_GOODS_SERVICES_POP_UNUSED">"c7109"</definedName>
    <definedName name="IQ_IMPORTS_GOODS_SERVICES_POP_UNUSED_UNUSED_UNUSED">"c7109"</definedName>
    <definedName name="IQ_IMPORTS_GOODS_SERVICES_REAL">"c6985"</definedName>
    <definedName name="IQ_IMPORTS_GOODS_SERVICES_REAL_APR">"c7645"</definedName>
    <definedName name="IQ_IMPORTS_GOODS_SERVICES_REAL_APR_FC">"c8525"</definedName>
    <definedName name="IQ_IMPORTS_GOODS_SERVICES_REAL_FC">"c7865"</definedName>
    <definedName name="IQ_IMPORTS_GOODS_SERVICES_REAL_POP">"c7205"</definedName>
    <definedName name="IQ_IMPORTS_GOODS_SERVICES_REAL_POP_FC">"c8085"</definedName>
    <definedName name="IQ_IMPORTS_GOODS_SERVICES_REAL_SAAR">"c11958"</definedName>
    <definedName name="IQ_IMPORTS_GOODS_SERVICES_REAL_SAAR_APR">"c11961"</definedName>
    <definedName name="IQ_IMPORTS_GOODS_SERVICES_REAL_SAAR_APR_FC_UNUSED">"c8524"</definedName>
    <definedName name="IQ_IMPORTS_GOODS_SERVICES_REAL_SAAR_APR_FC_UNUSED_UNUSED_UNUSED">"c8524"</definedName>
    <definedName name="IQ_IMPORTS_GOODS_SERVICES_REAL_SAAR_APR_UNUSED">"c7644"</definedName>
    <definedName name="IQ_IMPORTS_GOODS_SERVICES_REAL_SAAR_APR_UNUSED_UNUSED_UNUSED">"c7644"</definedName>
    <definedName name="IQ_IMPORTS_GOODS_SERVICES_REAL_SAAR_FC_UNUSED">"c7864"</definedName>
    <definedName name="IQ_IMPORTS_GOODS_SERVICES_REAL_SAAR_FC_UNUSED_UNUSED_UNUSED">"c7864"</definedName>
    <definedName name="IQ_IMPORTS_GOODS_SERVICES_REAL_SAAR_POP">"c11959"</definedName>
    <definedName name="IQ_IMPORTS_GOODS_SERVICES_REAL_SAAR_POP_FC_UNUSED">"c8084"</definedName>
    <definedName name="IQ_IMPORTS_GOODS_SERVICES_REAL_SAAR_POP_FC_UNUSED_UNUSED_UNUSED">"c8084"</definedName>
    <definedName name="IQ_IMPORTS_GOODS_SERVICES_REAL_SAAR_POP_UNUSED">"c7204"</definedName>
    <definedName name="IQ_IMPORTS_GOODS_SERVICES_REAL_SAAR_POP_UNUSED_UNUSED_UNUSED">"c7204"</definedName>
    <definedName name="IQ_IMPORTS_GOODS_SERVICES_REAL_SAAR_UNUSED">"c6984"</definedName>
    <definedName name="IQ_IMPORTS_GOODS_SERVICES_REAL_SAAR_UNUSED_UNUSED_UNUSED">"c6984"</definedName>
    <definedName name="IQ_IMPORTS_GOODS_SERVICES_REAL_SAAR_USD">"c11962"</definedName>
    <definedName name="IQ_IMPORTS_GOODS_SERVICES_REAL_SAAR_USD_APR">"c11965"</definedName>
    <definedName name="IQ_IMPORTS_GOODS_SERVICES_REAL_SAAR_USD_APR_FC">"c11969"</definedName>
    <definedName name="IQ_IMPORTS_GOODS_SERVICES_REAL_SAAR_USD_FC">"c11966"</definedName>
    <definedName name="IQ_IMPORTS_GOODS_SERVICES_REAL_SAAR_USD_POP">"c11963"</definedName>
    <definedName name="IQ_IMPORTS_GOODS_SERVICES_REAL_SAAR_USD_POP_FC">"c11967"</definedName>
    <definedName name="IQ_IMPORTS_GOODS_SERVICES_REAL_SAAR_USD_YOY">"c11964"</definedName>
    <definedName name="IQ_IMPORTS_GOODS_SERVICES_REAL_SAAR_USD_YOY_FC">"c11968"</definedName>
    <definedName name="IQ_IMPORTS_GOODS_SERVICES_REAL_SAAR_YOY">"c11960"</definedName>
    <definedName name="IQ_IMPORTS_GOODS_SERVICES_REAL_SAAR_YOY_FC_UNUSED">"c8304"</definedName>
    <definedName name="IQ_IMPORTS_GOODS_SERVICES_REAL_SAAR_YOY_FC_UNUSED_UNUSED_UNUSED">"c8304"</definedName>
    <definedName name="IQ_IMPORTS_GOODS_SERVICES_REAL_SAAR_YOY_UNUSED">"c7424"</definedName>
    <definedName name="IQ_IMPORTS_GOODS_SERVICES_REAL_SAAR_YOY_UNUSED_UNUSED_UNUSED">"c7424"</definedName>
    <definedName name="IQ_IMPORTS_GOODS_SERVICES_REAL_USD">"c11954"</definedName>
    <definedName name="IQ_IMPORTS_GOODS_SERVICES_REAL_USD_APR">"c11957"</definedName>
    <definedName name="IQ_IMPORTS_GOODS_SERVICES_REAL_USD_POP">"c11955"</definedName>
    <definedName name="IQ_IMPORTS_GOODS_SERVICES_REAL_USD_YOY">"c11956"</definedName>
    <definedName name="IQ_IMPORTS_GOODS_SERVICES_REAL_YOY">"c7425"</definedName>
    <definedName name="IQ_IMPORTS_GOODS_SERVICES_REAL_YOY_FC">"c8305"</definedName>
    <definedName name="IQ_IMPORTS_GOODS_SERVICES_SAAR">"c6890"</definedName>
    <definedName name="IQ_IMPORTS_GOODS_SERVICES_SAAR_APR">"c7550"</definedName>
    <definedName name="IQ_IMPORTS_GOODS_SERVICES_SAAR_APR_FC">"c8430"</definedName>
    <definedName name="IQ_IMPORTS_GOODS_SERVICES_SAAR_FC">"c7770"</definedName>
    <definedName name="IQ_IMPORTS_GOODS_SERVICES_SAAR_POP">"c7110"</definedName>
    <definedName name="IQ_IMPORTS_GOODS_SERVICES_SAAR_POP_FC">"c7990"</definedName>
    <definedName name="IQ_IMPORTS_GOODS_SERVICES_SAAR_YOY">"c7330"</definedName>
    <definedName name="IQ_IMPORTS_GOODS_SERVICES_SAAR_YOY_FC">"c8210"</definedName>
    <definedName name="IQ_IMPORTS_GOODS_SERVICES_UNUSED">"c6889"</definedName>
    <definedName name="IQ_IMPORTS_GOODS_SERVICES_UNUSED_UNUSED_UNUSED">"c6889"</definedName>
    <definedName name="IQ_IMPORTS_GOODS_SERVICES_USD">"c11842"</definedName>
    <definedName name="IQ_IMPORTS_GOODS_SERVICES_USD_APR">"c11845"</definedName>
    <definedName name="IQ_IMPORTS_GOODS_SERVICES_USD_POP">"c11843"</definedName>
    <definedName name="IQ_IMPORTS_GOODS_SERVICES_USD_YOY">"c11844"</definedName>
    <definedName name="IQ_IMPORTS_GOODS_SERVICES_YOY_FC_UNUSED">"c8209"</definedName>
    <definedName name="IQ_IMPORTS_GOODS_SERVICES_YOY_FC_UNUSED_UNUSED_UNUSED">"c8209"</definedName>
    <definedName name="IQ_IMPORTS_GOODS_SERVICES_YOY_UNUSED">"c7329"</definedName>
    <definedName name="IQ_IMPORTS_GOODS_SERVICES_YOY_UNUSED_UNUSED_UNUSED">"c7329"</definedName>
    <definedName name="IQ_IMPORTS_GOODS_USD_APR_FC">"c11841"</definedName>
    <definedName name="IQ_IMPORTS_GOODS_USD_FC">"c11838"</definedName>
    <definedName name="IQ_IMPORTS_GOODS_USD_POP_FC">"c11839"</definedName>
    <definedName name="IQ_IMPORTS_GOODS_USD_YOY_FC">"c11840"</definedName>
    <definedName name="IQ_IMPORTS_GOODS_YOY">"c7327"</definedName>
    <definedName name="IQ_IMPORTS_GOODS_YOY_FC">"c8207"</definedName>
    <definedName name="IQ_IMPORTS_NONFACTOR_SERVICES">"c6892"</definedName>
    <definedName name="IQ_IMPORTS_NONFACTOR_SERVICES_APR">"c7552"</definedName>
    <definedName name="IQ_IMPORTS_NONFACTOR_SERVICES_APR_FC">"c8432"</definedName>
    <definedName name="IQ_IMPORTS_NONFACTOR_SERVICES_FC">"c7772"</definedName>
    <definedName name="IQ_IMPORTS_NONFACTOR_SERVICES_POP">"c7112"</definedName>
    <definedName name="IQ_IMPORTS_NONFACTOR_SERVICES_POP_FC">"c7992"</definedName>
    <definedName name="IQ_IMPORTS_NONFACTOR_SERVICES_SAAR">"c6893"</definedName>
    <definedName name="IQ_IMPORTS_NONFACTOR_SERVICES_SAAR_APR">"c7553"</definedName>
    <definedName name="IQ_IMPORTS_NONFACTOR_SERVICES_SAAR_APR_FC">"c8433"</definedName>
    <definedName name="IQ_IMPORTS_NONFACTOR_SERVICES_SAAR_FC">"c7773"</definedName>
    <definedName name="IQ_IMPORTS_NONFACTOR_SERVICES_SAAR_POP">"c7113"</definedName>
    <definedName name="IQ_IMPORTS_NONFACTOR_SERVICES_SAAR_POP_FC">"c7993"</definedName>
    <definedName name="IQ_IMPORTS_NONFACTOR_SERVICES_SAAR_USD_APR_FC">"c11857"</definedName>
    <definedName name="IQ_IMPORTS_NONFACTOR_SERVICES_SAAR_USD_FC">"c11854"</definedName>
    <definedName name="IQ_IMPORTS_NONFACTOR_SERVICES_SAAR_USD_POP_FC">"c11855"</definedName>
    <definedName name="IQ_IMPORTS_NONFACTOR_SERVICES_SAAR_USD_YOY_FC">"c11856"</definedName>
    <definedName name="IQ_IMPORTS_NONFACTOR_SERVICES_SAAR_YOY">"c7333"</definedName>
    <definedName name="IQ_IMPORTS_NONFACTOR_SERVICES_SAAR_YOY_FC">"c8213"</definedName>
    <definedName name="IQ_IMPORTS_NONFACTOR_SERVICES_USD_APR_FC">"c11853"</definedName>
    <definedName name="IQ_IMPORTS_NONFACTOR_SERVICES_USD_FC">"c11850"</definedName>
    <definedName name="IQ_IMPORTS_NONFACTOR_SERVICES_USD_POP_FC">"c11851"</definedName>
    <definedName name="IQ_IMPORTS_NONFACTOR_SERVICES_USD_YOY_FC">"c11852"</definedName>
    <definedName name="IQ_IMPORTS_NONFACTOR_SERVICES_YOY">"c7332"</definedName>
    <definedName name="IQ_IMPORTS_NONFACTOR_SERVICES_YOY_FC">"c8212"</definedName>
    <definedName name="IQ_IMPORTS_SERVICES">"c11858"</definedName>
    <definedName name="IQ_IMPORTS_SERVICES_APR">"c11861"</definedName>
    <definedName name="IQ_IMPORTS_SERVICES_POP">"c11859"</definedName>
    <definedName name="IQ_IMPORTS_SERVICES_REAL">"c6986"</definedName>
    <definedName name="IQ_IMPORTS_SERVICES_REAL_APR">"c7646"</definedName>
    <definedName name="IQ_IMPORTS_SERVICES_REAL_APR_FC">"c8526"</definedName>
    <definedName name="IQ_IMPORTS_SERVICES_REAL_FC">"c7866"</definedName>
    <definedName name="IQ_IMPORTS_SERVICES_REAL_POP">"c7206"</definedName>
    <definedName name="IQ_IMPORTS_SERVICES_REAL_POP_FC">"c8086"</definedName>
    <definedName name="IQ_IMPORTS_SERVICES_REAL_YOY">"c7426"</definedName>
    <definedName name="IQ_IMPORTS_SERVICES_REAL_YOY_FC">"c8306"</definedName>
    <definedName name="IQ_IMPORTS_SERVICES_YOY">"c11860"</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DOM_LOANS_FFIEC">"c12975"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"c6222"</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CIDENTAL_CHANGES_BUSINESS_COMBINATIONS_FDIC">"c6502"</definedName>
    <definedName name="IQ_INCOME_BEFORE_EXTRA_FDIC">"c6585"</definedName>
    <definedName name="IQ_INCOME_CHECKS_FFIEC">"c13040"</definedName>
    <definedName name="IQ_INCOME_EARNED_FDIC">"c6359"</definedName>
    <definedName name="IQ_INCOME_FIDUCIARY_ACTIVITIES_FFIEC">"c13002"</definedName>
    <definedName name="IQ_INCOME_LEASE_FINANCING_REC_FFIEC">"c12980"</definedName>
    <definedName name="IQ_INCOME_LOANS_LEASES_TAX_EXEMPT_FFIEC">"c13038"</definedName>
    <definedName name="IQ_INCOME_OTHER_INSURANCE_ACTIVITIES_FFIEC">"c13009"</definedName>
    <definedName name="IQ_INCOME_SALE_MUTUAL_FUNDS_DOM_FFIEC">"c13069"</definedName>
    <definedName name="IQ_INCOME_SECURITIES_TAX_EXEMPT_FFIEC">"c13039"</definedName>
    <definedName name="IQ_INCOME_TAX_FOREIGN_FFIEC">"c15391"</definedName>
    <definedName name="IQ_INCOME_TAXES_FDIC">"c6582"</definedName>
    <definedName name="IQ_INCOME_TAXES_FFIEC">"c13030"</definedName>
    <definedName name="IQ_INCREASE_INT_INCOME_FFIEC">"c13063"</definedName>
    <definedName name="IQ_INDEX_CURRENCY">"c15224"</definedName>
    <definedName name="IQ_INDEX_LEADING_IND">"c6894"</definedName>
    <definedName name="IQ_INDEX_LEADING_IND_APR">"c7554"</definedName>
    <definedName name="IQ_INDEX_LEADING_IND_APR_FC">"c8434"</definedName>
    <definedName name="IQ_INDEX_LEADING_IND_FC">"c7774"</definedName>
    <definedName name="IQ_INDEX_LEADING_IND_POP">"c7114"</definedName>
    <definedName name="IQ_INDEX_LEADING_IND_POP_FC">"c7994"</definedName>
    <definedName name="IQ_INDEX_LEADING_IND_YOY">"c7334"</definedName>
    <definedName name="IQ_INDEX_LEADING_IND_YOY_FC">"c8214"</definedName>
    <definedName name="IQ_INDEX_PROVIDED_DIVIDEND">"c19252"</definedName>
    <definedName name="IQ_INDEX_TYPE">"c15223"</definedName>
    <definedName name="IQ_INDEXCONSTITUENT_CLOSEPRICE">"c19241"</definedName>
    <definedName name="IQ_INDICATED_ATTRIB_ORE_RESOURCES_ALUM">"c9238"</definedName>
    <definedName name="IQ_INDICATED_ATTRIB_ORE_RESOURCES_COP">"c9182"</definedName>
    <definedName name="IQ_INDICATED_ATTRIB_ORE_RESOURCES_DIAM">"c9662"</definedName>
    <definedName name="IQ_INDICATED_ATTRIB_ORE_RESOURCES_GOLD">"c9023"</definedName>
    <definedName name="IQ_INDICATED_ATTRIB_ORE_RESOURCES_IRON">"c9397"</definedName>
    <definedName name="IQ_INDICATED_ATTRIB_ORE_RESOURCES_LEAD">"c9450"</definedName>
    <definedName name="IQ_INDICATED_ATTRIB_ORE_RESOURCES_MANG">"c9503"</definedName>
    <definedName name="IQ_INDICATED_ATTRIB_ORE_RESOURCES_MOLYB">"c9715"</definedName>
    <definedName name="IQ_INDICATED_ATTRIB_ORE_RESOURCES_NICK">"c9291"</definedName>
    <definedName name="IQ_INDICATED_ATTRIB_ORE_RESOURCES_PLAT">"c9129"</definedName>
    <definedName name="IQ_INDICATED_ATTRIB_ORE_RESOURCES_SILVER">"c9076"</definedName>
    <definedName name="IQ_INDICATED_ATTRIB_ORE_RESOURCES_TITAN">"c9556"</definedName>
    <definedName name="IQ_INDICATED_ATTRIB_ORE_RESOURCES_URAN">"c9609"</definedName>
    <definedName name="IQ_INDICATED_ATTRIB_ORE_RESOURCES_ZINC">"c9344"</definedName>
    <definedName name="IQ_INDICATED_ORE_RESOURCES_ALUM">"c9224"</definedName>
    <definedName name="IQ_INDICATED_ORE_RESOURCES_COP">"c9168"</definedName>
    <definedName name="IQ_INDICATED_ORE_RESOURCES_DIAM">"c9648"</definedName>
    <definedName name="IQ_INDICATED_ORE_RESOURCES_GOLD">"c9009"</definedName>
    <definedName name="IQ_INDICATED_ORE_RESOURCES_IRON">"c9383"</definedName>
    <definedName name="IQ_INDICATED_ORE_RESOURCES_LEAD">"c9436"</definedName>
    <definedName name="IQ_INDICATED_ORE_RESOURCES_MANG">"c9489"</definedName>
    <definedName name="IQ_INDICATED_ORE_RESOURCES_MOLYB">"c9701"</definedName>
    <definedName name="IQ_INDICATED_ORE_RESOURCES_NICK">"c9277"</definedName>
    <definedName name="IQ_INDICATED_ORE_RESOURCES_PLAT">"c9115"</definedName>
    <definedName name="IQ_INDICATED_ORE_RESOURCES_SILVER">"c9062"</definedName>
    <definedName name="IQ_INDICATED_ORE_RESOURCES_TITAN">"c9542"</definedName>
    <definedName name="IQ_INDICATED_ORE_RESOURCES_URAN">"c9595"</definedName>
    <definedName name="IQ_INDICATED_ORE_RESOURCES_ZINC">"c9330"</definedName>
    <definedName name="IQ_INDICATED_RECOV_ATTRIB_RESOURCES_ALUM">"c9243"</definedName>
    <definedName name="IQ_INDICATED_RECOV_ATTRIB_RESOURCES_COAL">"c9817"</definedName>
    <definedName name="IQ_INDICATED_RECOV_ATTRIB_RESOURCES_COP">"c9187"</definedName>
    <definedName name="IQ_INDICATED_RECOV_ATTRIB_RESOURCES_DIAM">"c9667"</definedName>
    <definedName name="IQ_INDICATED_RECOV_ATTRIB_RESOURCES_GOLD">"c9028"</definedName>
    <definedName name="IQ_INDICATED_RECOV_ATTRIB_RESOURCES_IRON">"c9402"</definedName>
    <definedName name="IQ_INDICATED_RECOV_ATTRIB_RESOURCES_LEAD">"c9455"</definedName>
    <definedName name="IQ_INDICATED_RECOV_ATTRIB_RESOURCES_MANG">"c9508"</definedName>
    <definedName name="IQ_INDICATED_RECOV_ATTRIB_RESOURCES_MET_COAL">"c9757"</definedName>
    <definedName name="IQ_INDICATED_RECOV_ATTRIB_RESOURCES_MOLYB">"c9720"</definedName>
    <definedName name="IQ_INDICATED_RECOV_ATTRIB_RESOURCES_NICK">"c9296"</definedName>
    <definedName name="IQ_INDICATED_RECOV_ATTRIB_RESOURCES_PLAT">"c9134"</definedName>
    <definedName name="IQ_INDICATED_RECOV_ATTRIB_RESOURCES_SILVER">"c9081"</definedName>
    <definedName name="IQ_INDICATED_RECOV_ATTRIB_RESOURCES_STEAM">"c9787"</definedName>
    <definedName name="IQ_INDICATED_RECOV_ATTRIB_RESOURCES_TITAN">"c9561"</definedName>
    <definedName name="IQ_INDICATED_RECOV_ATTRIB_RESOURCES_URAN">"c9614"</definedName>
    <definedName name="IQ_INDICATED_RECOV_ATTRIB_RESOURCES_ZINC">"c9349"</definedName>
    <definedName name="IQ_INDICATED_RECOV_RESOURCES_ALUM">"c9233"</definedName>
    <definedName name="IQ_INDICATED_RECOV_RESOURCES_COAL">"c9812"</definedName>
    <definedName name="IQ_INDICATED_RECOV_RESOURCES_COP">"c9177"</definedName>
    <definedName name="IQ_INDICATED_RECOV_RESOURCES_DIAM">"c9657"</definedName>
    <definedName name="IQ_INDICATED_RECOV_RESOURCES_GOLD">"c9018"</definedName>
    <definedName name="IQ_INDICATED_RECOV_RESOURCES_IRON">"c9392"</definedName>
    <definedName name="IQ_INDICATED_RECOV_RESOURCES_LEAD">"c9445"</definedName>
    <definedName name="IQ_INDICATED_RECOV_RESOURCES_MANG">"c9498"</definedName>
    <definedName name="IQ_INDICATED_RECOV_RESOURCES_MET_COAL">"c9752"</definedName>
    <definedName name="IQ_INDICATED_RECOV_RESOURCES_MOLYB">"c9710"</definedName>
    <definedName name="IQ_INDICATED_RECOV_RESOURCES_NICK">"c9286"</definedName>
    <definedName name="IQ_INDICATED_RECOV_RESOURCES_PLAT">"c9124"</definedName>
    <definedName name="IQ_INDICATED_RECOV_RESOURCES_SILVER">"c9071"</definedName>
    <definedName name="IQ_INDICATED_RECOV_RESOURCES_STEAM">"c9782"</definedName>
    <definedName name="IQ_INDICATED_RECOV_RESOURCES_TITAN">"c9551"</definedName>
    <definedName name="IQ_INDICATED_RECOV_RESOURCES_URAN">"c9604"</definedName>
    <definedName name="IQ_INDICATED_RECOV_RESOURCES_ZINC">"c9339"</definedName>
    <definedName name="IQ_INDICATED_RESOURCES_CALORIFIC_VALUE_COAL">"c9807"</definedName>
    <definedName name="IQ_INDICATED_RESOURCES_CALORIFIC_VALUE_MET_COAL">"c9747"</definedName>
    <definedName name="IQ_INDICATED_RESOURCES_CALORIFIC_VALUE_STEAM">"c9777"</definedName>
    <definedName name="IQ_INDICATED_RESOURCES_GRADE_ALUM">"c9225"</definedName>
    <definedName name="IQ_INDICATED_RESOURCES_GRADE_COP">"c9169"</definedName>
    <definedName name="IQ_INDICATED_RESOURCES_GRADE_DIAM">"c9649"</definedName>
    <definedName name="IQ_INDICATED_RESOURCES_GRADE_GOLD">"c9010"</definedName>
    <definedName name="IQ_INDICATED_RESOURCES_GRADE_IRON">"c9384"</definedName>
    <definedName name="IQ_INDICATED_RESOURCES_GRADE_LEAD">"c9437"</definedName>
    <definedName name="IQ_INDICATED_RESOURCES_GRADE_MANG">"c9490"</definedName>
    <definedName name="IQ_INDICATED_RESOURCES_GRADE_MOLYB">"c9702"</definedName>
    <definedName name="IQ_INDICATED_RESOURCES_GRADE_NICK">"c9278"</definedName>
    <definedName name="IQ_INDICATED_RESOURCES_GRADE_PLAT">"c9116"</definedName>
    <definedName name="IQ_INDICATED_RESOURCES_GRADE_SILVER">"c9063"</definedName>
    <definedName name="IQ_INDICATED_RESOURCES_GRADE_TITAN">"c9543"</definedName>
    <definedName name="IQ_INDICATED_RESOURCES_GRADE_URAN">"c9596"</definedName>
    <definedName name="IQ_INDICATED_RESOURCES_GRADE_ZINC">"c9331"</definedName>
    <definedName name="IQ_INDIVIDUAL">"c15182"</definedName>
    <definedName name="IQ_INDIVIDUAL_ACTIVE_BOARD_MEMBERSHIPS">"c15201"</definedName>
    <definedName name="IQ_INDIVIDUAL_ACTIVE_PRO_AFFILIATIONS">"c15199"</definedName>
    <definedName name="IQ_INDIVIDUAL_AGE">"c15191"</definedName>
    <definedName name="IQ_INDIVIDUAL_ASSISTANT_EMAIL">"c15206"</definedName>
    <definedName name="IQ_INDIVIDUAL_ASSISTANT_FAX">"c15208"</definedName>
    <definedName name="IQ_INDIVIDUAL_ASSISTANT_NAME">"c15205"</definedName>
    <definedName name="IQ_INDIVIDUAL_ASSISTANT_PHONE">"c15207"</definedName>
    <definedName name="IQ_INDIVIDUAL_BACKGROUND">"c15184"</definedName>
    <definedName name="IQ_INDIVIDUAL_DIRECT_FAX">"c15189"</definedName>
    <definedName name="IQ_INDIVIDUAL_DIRECT_PHONE">"c15188"</definedName>
    <definedName name="IQ_INDIVIDUAL_EDUCATION">"c15203"</definedName>
    <definedName name="IQ_INDIVIDUAL_EMAIL">"c15193"</definedName>
    <definedName name="IQ_INDIVIDUAL_FAMILY_LOAN_DOM_QUARTERLY_AVG_FFIEC">"c15479"</definedName>
    <definedName name="IQ_INDIVIDUAL_HOME_ADDRESS">"c15194"</definedName>
    <definedName name="IQ_INDIVIDUAL_HOME_FAX">"c15196"</definedName>
    <definedName name="IQ_INDIVIDUAL_HOME_PHONE">"c15195"</definedName>
    <definedName name="IQ_INDIVIDUAL_MAIN_FAX">"c15187"</definedName>
    <definedName name="IQ_INDIVIDUAL_MAIN_PHONE">"c15186"</definedName>
    <definedName name="IQ_INDIVIDUAL_MOBILE">"c15198"</definedName>
    <definedName name="IQ_INDIVIDUAL_NICKNAME">"c15192"</definedName>
    <definedName name="IQ_INDIVIDUAL_NOTES">"c15204"</definedName>
    <definedName name="IQ_INDIVIDUAL_OFFICE_ADDRESS">"c15185"</definedName>
    <definedName name="IQ_INDIVIDUAL_OTHER_PHONE">"c15197"</definedName>
    <definedName name="IQ_INDIVIDUAL_PARTNER_CORP_NON_TRANS_ACCTS_FFIEC">"c15322"</definedName>
    <definedName name="IQ_INDIVIDUAL_PARTNER_CORP_TRANS_ACCTS_FFIEC">"c15314"</definedName>
    <definedName name="IQ_INDIVIDUAL_PARTNER_CORPS_FOREIGN_DEP_FFIEC">"c15342"</definedName>
    <definedName name="IQ_INDIVIDUAL_PRIOR_BOARD_MEMBERSHIPS">"c15202"</definedName>
    <definedName name="IQ_INDIVIDUAL_PRIOR_PRO_AFFILIATIONS">"c15200"</definedName>
    <definedName name="IQ_INDIVIDUAL_SPECIALTY">"c15190"</definedName>
    <definedName name="IQ_INDIVIDUAL_TITLE">"c15183"</definedName>
    <definedName name="IQ_INDIVIDUALS_CHARGE_OFFS_FDIC">"c6599"</definedName>
    <definedName name="IQ_INDIVIDUALS_GROSS_LOANS_FFIEC">"c13411"</definedName>
    <definedName name="IQ_INDIVIDUALS_LOANS_FDIC">"c6318"</definedName>
    <definedName name="IQ_INDIVIDUALS_NET_CHARGE_OFFS_FDIC">"c6637"</definedName>
    <definedName name="IQ_INDIVIDUALS_OTHER_LOANS_FDIC">"c6321"</definedName>
    <definedName name="IQ_INDIVIDUALS_PARTNERSHIPS_CORP_DEPOSITS_FOREIGN_FDIC">"c6479"</definedName>
    <definedName name="IQ_INDIVIDUALS_PARTNERSHIPS_CORP_NONTRANSACTION_ACCOUNTS_FDIC">"c6545"</definedName>
    <definedName name="IQ_INDIVIDUALS_PARTNERSHIPS_CORP_TOTAL_DEPOSITS_FDIC">"c6471"</definedName>
    <definedName name="IQ_INDIVIDUALS_PARTNERSHIPS_CORP_TRANSACTION_ACCOUNTS_FDIC">"c6537"</definedName>
    <definedName name="IQ_INDIVIDUALS_RECOVERIES_FDIC">"c6618"</definedName>
    <definedName name="IQ_INDIVIDUALS_RISK_BASED_FFIEC">"c13432"</definedName>
    <definedName name="IQ_INDUSTRIAL_PROD">"c6895"</definedName>
    <definedName name="IQ_INDUSTRIAL_PROD_APR">"c7555"</definedName>
    <definedName name="IQ_INDUSTRIAL_PROD_APR_FC">"c8435"</definedName>
    <definedName name="IQ_INDUSTRIAL_PROD_FC">"c7775"</definedName>
    <definedName name="IQ_INDUSTRIAL_PROD_POP">"c7115"</definedName>
    <definedName name="IQ_INDUSTRIAL_PROD_POP_FC">"c7995"</definedName>
    <definedName name="IQ_INDUSTRIAL_PROD_YOY">"c7335"</definedName>
    <definedName name="IQ_INDUSTRIAL_PROD_YOY_FC">"c8215"</definedName>
    <definedName name="IQ_INDUSTRY">"c3601"</definedName>
    <definedName name="IQ_INDUSTRY_GROUP">"c3602"</definedName>
    <definedName name="IQ_INDUSTRY_SECTOR">"c3603"</definedName>
    <definedName name="IQ_INFERRED_ATTRIB_ORE_RESOURCES_ALUM">"c9240"</definedName>
    <definedName name="IQ_INFERRED_ATTRIB_ORE_RESOURCES_COP">"c9184"</definedName>
    <definedName name="IQ_INFERRED_ATTRIB_ORE_RESOURCES_DIAM">"c9664"</definedName>
    <definedName name="IQ_INFERRED_ATTRIB_ORE_RESOURCES_GOLD">"c9025"</definedName>
    <definedName name="IQ_INFERRED_ATTRIB_ORE_RESOURCES_IRON">"c9399"</definedName>
    <definedName name="IQ_INFERRED_ATTRIB_ORE_RESOURCES_LEAD">"c9452"</definedName>
    <definedName name="IQ_INFERRED_ATTRIB_ORE_RESOURCES_MANG">"c9505"</definedName>
    <definedName name="IQ_INFERRED_ATTRIB_ORE_RESOURCES_MOLYB">"c9717"</definedName>
    <definedName name="IQ_INFERRED_ATTRIB_ORE_RESOURCES_NICK">"c9293"</definedName>
    <definedName name="IQ_INFERRED_ATTRIB_ORE_RESOURCES_PLAT">"c9131"</definedName>
    <definedName name="IQ_INFERRED_ATTRIB_ORE_RESOURCES_SILVER">"c9078"</definedName>
    <definedName name="IQ_INFERRED_ATTRIB_ORE_RESOURCES_TITAN">"c9558"</definedName>
    <definedName name="IQ_INFERRED_ATTRIB_ORE_RESOURCES_URAN">"c9611"</definedName>
    <definedName name="IQ_INFERRED_ATTRIB_ORE_RESOURCES_ZINC">"c9346"</definedName>
    <definedName name="IQ_INFERRED_ORE_RESOURCES_ALUM">"c9228"</definedName>
    <definedName name="IQ_INFERRED_ORE_RESOURCES_COP">"c9172"</definedName>
    <definedName name="IQ_INFERRED_ORE_RESOURCES_DIAM">"c9652"</definedName>
    <definedName name="IQ_INFERRED_ORE_RESOURCES_GOLD">"c9013"</definedName>
    <definedName name="IQ_INFERRED_ORE_RESOURCES_IRON">"c9387"</definedName>
    <definedName name="IQ_INFERRED_ORE_RESOURCES_LEAD">"c9440"</definedName>
    <definedName name="IQ_INFERRED_ORE_RESOURCES_MANG">"c9493"</definedName>
    <definedName name="IQ_INFERRED_ORE_RESOURCES_MOLYB">"c9705"</definedName>
    <definedName name="IQ_INFERRED_ORE_RESOURCES_NICK">"c9281"</definedName>
    <definedName name="IQ_INFERRED_ORE_RESOURCES_PLAT">"c9119"</definedName>
    <definedName name="IQ_INFERRED_ORE_RESOURCES_SILVER">"c9066"</definedName>
    <definedName name="IQ_INFERRED_ORE_RESOURCES_TITAN">"c9546"</definedName>
    <definedName name="IQ_INFERRED_ORE_RESOURCES_URAN">"c9599"</definedName>
    <definedName name="IQ_INFERRED_ORE_RESOURCES_ZINC">"c9334"</definedName>
    <definedName name="IQ_INFERRED_RECOV_ATTRIB_RESOURCES_ALUM">"c9245"</definedName>
    <definedName name="IQ_INFERRED_RECOV_ATTRIB_RESOURCES_COAL">"c9819"</definedName>
    <definedName name="IQ_INFERRED_RECOV_ATTRIB_RESOURCES_COP">"c9189"</definedName>
    <definedName name="IQ_INFERRED_RECOV_ATTRIB_RESOURCES_DIAM">"c9669"</definedName>
    <definedName name="IQ_INFERRED_RECOV_ATTRIB_RESOURCES_GOLD">"c9030"</definedName>
    <definedName name="IQ_INFERRED_RECOV_ATTRIB_RESOURCES_IRON">"c9404"</definedName>
    <definedName name="IQ_INFERRED_RECOV_ATTRIB_RESOURCES_LEAD">"c9457"</definedName>
    <definedName name="IQ_INFERRED_RECOV_ATTRIB_RESOURCES_MANG">"c9510"</definedName>
    <definedName name="IQ_INFERRED_RECOV_ATTRIB_RESOURCES_MET_COAL">"c9759"</definedName>
    <definedName name="IQ_INFERRED_RECOV_ATTRIB_RESOURCES_MOLYB">"c9722"</definedName>
    <definedName name="IQ_INFERRED_RECOV_ATTRIB_RESOURCES_NICK">"c9298"</definedName>
    <definedName name="IQ_INFERRED_RECOV_ATTRIB_RESOURCES_PLAT">"c9136"</definedName>
    <definedName name="IQ_INFERRED_RECOV_ATTRIB_RESOURCES_SILVER">"c9083"</definedName>
    <definedName name="IQ_INFERRED_RECOV_ATTRIB_RESOURCES_STEAM">"c9789"</definedName>
    <definedName name="IQ_INFERRED_RECOV_ATTRIB_RESOURCES_TITAN">"c9563"</definedName>
    <definedName name="IQ_INFERRED_RECOV_ATTRIB_RESOURCES_URAN">"c9616"</definedName>
    <definedName name="IQ_INFERRED_RECOV_ATTRIB_RESOURCES_ZINC">"c9351"</definedName>
    <definedName name="IQ_INFERRED_RECOV_RESOURCES_ALUM">"c9235"</definedName>
    <definedName name="IQ_INFERRED_RECOV_RESOURCES_COAL">"c9814"</definedName>
    <definedName name="IQ_INFERRED_RECOV_RESOURCES_COP">"c9179"</definedName>
    <definedName name="IQ_INFERRED_RECOV_RESOURCES_DIAM">"c9659"</definedName>
    <definedName name="IQ_INFERRED_RECOV_RESOURCES_GOLD">"c9020"</definedName>
    <definedName name="IQ_INFERRED_RECOV_RESOURCES_IRON">"c9394"</definedName>
    <definedName name="IQ_INFERRED_RECOV_RESOURCES_LEAD">"c9447"</definedName>
    <definedName name="IQ_INFERRED_RECOV_RESOURCES_MANG">"c9500"</definedName>
    <definedName name="IQ_INFERRED_RECOV_RESOURCES_MET_COAL">"c9754"</definedName>
    <definedName name="IQ_INFERRED_RECOV_RESOURCES_MOLYB">"c9712"</definedName>
    <definedName name="IQ_INFERRED_RECOV_RESOURCES_NICK">"c9288"</definedName>
    <definedName name="IQ_INFERRED_RECOV_RESOURCES_PLAT">"c9126"</definedName>
    <definedName name="IQ_INFERRED_RECOV_RESOURCES_SILVER">"c9073"</definedName>
    <definedName name="IQ_INFERRED_RECOV_RESOURCES_STEAM">"c9784"</definedName>
    <definedName name="IQ_INFERRED_RECOV_RESOURCES_TITAN">"c9553"</definedName>
    <definedName name="IQ_INFERRED_RECOV_RESOURCES_URAN">"c9606"</definedName>
    <definedName name="IQ_INFERRED_RECOV_RESOURCES_ZINC">"c9341"</definedName>
    <definedName name="IQ_INFERRED_RESOURCES_CALORIFIC_VALUE_COAL">"c9809"</definedName>
    <definedName name="IQ_INFERRED_RESOURCES_CALORIFIC_VALUE_MET_COAL">"c9749"</definedName>
    <definedName name="IQ_INFERRED_RESOURCES_CALORIFIC_VALUE_STEAM">"c9779"</definedName>
    <definedName name="IQ_INFERRED_RESOURCES_GRADE_ALUM">"c9229"</definedName>
    <definedName name="IQ_INFERRED_RESOURCES_GRADE_COP">"c9173"</definedName>
    <definedName name="IQ_INFERRED_RESOURCES_GRADE_DIAM">"c9653"</definedName>
    <definedName name="IQ_INFERRED_RESOURCES_GRADE_GOLD">"c9014"</definedName>
    <definedName name="IQ_INFERRED_RESOURCES_GRADE_IRON">"c9388"</definedName>
    <definedName name="IQ_INFERRED_RESOURCES_GRADE_LEAD">"c9441"</definedName>
    <definedName name="IQ_INFERRED_RESOURCES_GRADE_MANG">"c9494"</definedName>
    <definedName name="IQ_INFERRED_RESOURCES_GRADE_MOLYB">"c9706"</definedName>
    <definedName name="IQ_INFERRED_RESOURCES_GRADE_NICK">"c9282"</definedName>
    <definedName name="IQ_INFERRED_RESOURCES_GRADE_PLAT">"c9120"</definedName>
    <definedName name="IQ_INFERRED_RESOURCES_GRADE_SILVER">"c9067"</definedName>
    <definedName name="IQ_INFERRED_RESOURCES_GRADE_TITAN">"c9547"</definedName>
    <definedName name="IQ_INFERRED_RESOURCES_GRADE_URAN">"c9600"</definedName>
    <definedName name="IQ_INFERRED_RESOURCES_GRADE_ZINC">"c9335"</definedName>
    <definedName name="IQ_INFLATION_RATE">"c6899"</definedName>
    <definedName name="IQ_INFLATION_RATE_CORE">"c11783"</definedName>
    <definedName name="IQ_INFLATION_RATE_CORE_POP">"c11784"</definedName>
    <definedName name="IQ_INFLATION_RATE_CORE_YOY">"c11785"</definedName>
    <definedName name="IQ_INFLATION_RATE_FC">"c7779"</definedName>
    <definedName name="IQ_INFLATION_RATE_POP">"c7119"</definedName>
    <definedName name="IQ_INFLATION_RATE_POP_FC">"c7999"</definedName>
    <definedName name="IQ_INFLATION_RATE_YOY">"c7339"</definedName>
    <definedName name="IQ_INFLATION_RATE_YOY_FC">"c8219"</definedName>
    <definedName name="IQ_INITIAL_CLAIMS">"c6900"</definedName>
    <definedName name="IQ_INITIAL_CLAIMS_APR">"c7560"</definedName>
    <definedName name="IQ_INITIAL_CLAIMS_APR_FC">"c8440"</definedName>
    <definedName name="IQ_INITIAL_CLAIMS_FC">"c7780"</definedName>
    <definedName name="IQ_INITIAL_CLAIMS_POP">"c7120"</definedName>
    <definedName name="IQ_INITIAL_CLAIMS_POP_FC">"c8000"</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"c6223"</definedName>
    <definedName name="IQ_INS_SETTLE_REIT">"c575"</definedName>
    <definedName name="IQ_INS_SETTLE_SUPPLE">"c13814"</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LOANS_FDIC">"c6365"</definedName>
    <definedName name="IQ_INSIDER_OVER_TOTAL">"c1581"</definedName>
    <definedName name="IQ_INSIDER_OWNER">"c577"</definedName>
    <definedName name="IQ_INSIDER_PERCENT">"c578"</definedName>
    <definedName name="IQ_INSIDER_SHARES">"c579"</definedName>
    <definedName name="IQ_INST_DEPOSITS">"c89"</definedName>
    <definedName name="IQ_INSTITUTIONAL_OVER_TOTAL">"c1580"</definedName>
    <definedName name="IQ_INSTITUTIONAL_OWNER">"c580"</definedName>
    <definedName name="IQ_INSTITUTIONAL_PERCENT">"c581"</definedName>
    <definedName name="IQ_INSTITUTIONAL_SHARES">"c582"</definedName>
    <definedName name="IQ_INSTITUTIONS_EARNINGS_GAINS_FDIC">"c6723"</definedName>
    <definedName name="IQ_INSUR_RECEIV">"c1600"</definedName>
    <definedName name="IQ_INSURANCE_COMMISSION_FEES_FDIC">"c6670"</definedName>
    <definedName name="IQ_INSURANCE_REINSURANCE_UNDERWRITING_INCOME_FFIEC">"c13008"</definedName>
    <definedName name="IQ_INSURANCE_REV_OPERATING_INC_FFIEC">"c13387"</definedName>
    <definedName name="IQ_INSURANCE_UNDERWRITING_INCOME_FDIC">"c6671"</definedName>
    <definedName name="IQ_INT_BEARING_DEPOSITS">"c1166"</definedName>
    <definedName name="IQ_INT_BEARING_FUNDS_AVG_ASSETS_FFIEC">"c13355"</definedName>
    <definedName name="IQ_INT_BEARING_LIABILITIES_REPRICE_ASSETS_TOT_FFIEC">"c13452"</definedName>
    <definedName name="IQ_INT_BORROW">"c583"</definedName>
    <definedName name="IQ_INT_DEMAND_NOTES_FDIC">"c6567"</definedName>
    <definedName name="IQ_INT_DEPOSITS">"c584"</definedName>
    <definedName name="IQ_INT_DEPOSITS_DOM_FFIEC">"c12852"</definedName>
    <definedName name="IQ_INT_DEPOSITS_DOM_QUARTERLY_AVG_FFIEC">"c13088"</definedName>
    <definedName name="IQ_INT_DEPOSITS_FOREIGN_FFIEC">"c12855"</definedName>
    <definedName name="IQ_INT_DEPOSITS_FOREIGN_QUARTERLY_AVG_FFIEC">"c13089"</definedName>
    <definedName name="IQ_INT_DIV_INC">"c585"</definedName>
    <definedName name="IQ_INT_DIV_INC_MBS_FFIEC">"c12984"</definedName>
    <definedName name="IQ_INT_DIV_INC_SECURITIES_FFIEC">"c12982"</definedName>
    <definedName name="IQ_INT_DIV_INC_SECURITIES_OTHER_FFIEC">"c12985"</definedName>
    <definedName name="IQ_INT_DIV_INC_TREASURY_SECURITIES_FFIEC">"c12983"</definedName>
    <definedName name="IQ_INT_DOMESTIC_DEPOSITS_FDIC">"c6564"</definedName>
    <definedName name="IQ_INT_EXP_AVG_ASSETS_FFIEC">"c13357"</definedName>
    <definedName name="IQ_INT_EXP_BR">"c586"</definedName>
    <definedName name="IQ_INT_EXP_COVERAGE">"c587"</definedName>
    <definedName name="IQ_INT_EXP_EARNING_ASSETS_FFIEC">"c13376"</definedName>
    <definedName name="IQ_INT_EXP_FED_FUNDS_PURCHASED_FFIEC">"c12996"</definedName>
    <definedName name="IQ_INT_EXP_FIN">"c588"</definedName>
    <definedName name="IQ_INT_EXP_INCL_CAP">"c2988"</definedName>
    <definedName name="IQ_INT_EXP_INS">"c589"</definedName>
    <definedName name="IQ_INT_EXP_LTD">"c2086"</definedName>
    <definedName name="IQ_INT_EXP_RE">"c6224"</definedName>
    <definedName name="IQ_INT_EXP_REIT">"c590"</definedName>
    <definedName name="IQ_INT_EXP_TOTAL">"c591"</definedName>
    <definedName name="IQ_INT_EXP_TOTAL_BNK_SUBTOTAL_AP">"c8977"</definedName>
    <definedName name="IQ_INT_EXP_TOTAL_FDIC">"c6569"</definedName>
    <definedName name="IQ_INT_EXP_UTI">"c592"</definedName>
    <definedName name="IQ_INT_FED_FUNDS_FDIC">"c6566"</definedName>
    <definedName name="IQ_INT_FEE_INC_ACCEPTANCE_OTHER_BANKS_DOM_FFIEC">"c15357"</definedName>
    <definedName name="IQ_INT_FEE_INC_AGRICULTURE_LOANS_FARMERS_DOM_FFIEC">"c15355"</definedName>
    <definedName name="IQ_INT_FEE_INC_COMM_IND_LOANS_DOM_FFIEC">"c15356"</definedName>
    <definedName name="IQ_INT_FEE_INC_CREDIT_CARDS_DOM_FFIEC">"c15358"</definedName>
    <definedName name="IQ_INT_FEE_INC_DEPOSITORY_LOANS_DOM_FFIEC">"c15354"</definedName>
    <definedName name="IQ_INT_FEE_INC_FOREIGN_GOVT_LOANS_DOM_FFIEC">"c15360"</definedName>
    <definedName name="IQ_INT_FEE_INC_INDIVIDUAL_LOANS_DOM_FFIEC">"c15359"</definedName>
    <definedName name="IQ_INT_FEE_INC_LOANS_1_4_DOM_FFIEC">"c12976"</definedName>
    <definedName name="IQ_INT_FEE_INC_LOANS_DOM_FFIEC">"c13335"</definedName>
    <definedName name="IQ_INT_FEE_INC_LOANS_FOREIGN_FFIEC">"c12979"</definedName>
    <definedName name="IQ_INT_FEE_INC_LOANS_OTHER_DOM_FFIEC">"c12978"</definedName>
    <definedName name="IQ_INT_FEE_INC_RE_LOANS_DOM_FFIEC">"c15353"</definedName>
    <definedName name="IQ_INT_FEE_INC_SECURED_RE_DOM_FFIEC">"c12977"</definedName>
    <definedName name="IQ_INT_FEE_INC_TAX_EXEMPT_OBLIGATIONS_DOM_FFIEC">"c15362"</definedName>
    <definedName name="IQ_INT_FEE_INC_TAXABLE_OBLIGATIONS_DOM_FFIEC">"c15361"</definedName>
    <definedName name="IQ_INT_FEE_INCOME_FFIEC">"c12974"</definedName>
    <definedName name="IQ_INT_FOREIGN_DEPOSITS_FDIC">"c6565"</definedName>
    <definedName name="IQ_INT_INC_AVG_ASSETS_FFIEC">"c13356"</definedName>
    <definedName name="IQ_INT_INC_BR">"c593"</definedName>
    <definedName name="IQ_INT_INC_DEPOSITORY_INST_FDIC">"c6558"</definedName>
    <definedName name="IQ_INT_INC_DOM_LOANS_FDIC">"c6555"</definedName>
    <definedName name="IQ_INT_INC_DUE_DEPOSITORY_INSTITUTIONS_FFIEC">"c12981"</definedName>
    <definedName name="IQ_INT_INC_EARNING_ASSETS_FFIEC">"c13375"</definedName>
    <definedName name="IQ_INT_INC_FED_FUNDS_FDIC">"c6561"</definedName>
    <definedName name="IQ_INT_INC_FED_FUNDS_SOLD_FFIEC">"c12987"</definedName>
    <definedName name="IQ_INT_INC_FIN">"c594"</definedName>
    <definedName name="IQ_INT_INC_FOREIGN_LOANS_FDIC">"c6556"</definedName>
    <definedName name="IQ_INT_INC_INVEST">"c595"</definedName>
    <definedName name="IQ_INT_INC_LEASE_RECEIVABLES_FDIC">"c6557"</definedName>
    <definedName name="IQ_INT_INC_LOANS">"c596"</definedName>
    <definedName name="IQ_INT_INC_OTHER_FDIC">"c6562"</definedName>
    <definedName name="IQ_INT_INC_RE">"c6225"</definedName>
    <definedName name="IQ_INT_INC_REIT">"c597"</definedName>
    <definedName name="IQ_INT_INC_SECURITIES_FDIC">"c6559"</definedName>
    <definedName name="IQ_INT_INC_TE_AVG_ASSETS_FFIEC">"c13358"</definedName>
    <definedName name="IQ_INT_INC_TE_EARNING_ASSETS_FFIEC">"c13377"</definedName>
    <definedName name="IQ_INT_INC_TOTAL">"c598"</definedName>
    <definedName name="IQ_INT_INC_TOTAL_BNK_SUBTOTAL_AP">"c8976"</definedName>
    <definedName name="IQ_INT_INC_TOTAL_FDIC">"c6563"</definedName>
    <definedName name="IQ_INT_INC_TRADING_ACCOUNTS_FDIC">"c6560"</definedName>
    <definedName name="IQ_INT_INC_TRADING_ASSETS_FFIEC">"c12986"</definedName>
    <definedName name="IQ_INT_INC_UTI">"c599"</definedName>
    <definedName name="IQ_INT_INCOME_FTE_AVG_ASSETS_FFIEC">"c13856"</definedName>
    <definedName name="IQ_INT_INCOME_FTE_AVG_EARNING_ASSETS_FFIEC">"c13857"</definedName>
    <definedName name="IQ_INT_INCOME_FTE_FFIEC">"c13852"</definedName>
    <definedName name="IQ_INT_INV_INC">"c600"</definedName>
    <definedName name="IQ_INT_INV_INC_RE">"c6226"</definedName>
    <definedName name="IQ_INT_INV_INC_REIT">"c601"</definedName>
    <definedName name="IQ_INT_INV_INC_UTI">"c602"</definedName>
    <definedName name="IQ_INT_ON_BORROWING_COVERAGE">"c603"</definedName>
    <definedName name="IQ_INT_ON_DEPOSITS_DOM_FFIEC">"c12991"</definedName>
    <definedName name="IQ_INT_ON_DEPOSITS_FFIEC">"c12990"</definedName>
    <definedName name="IQ_INT_ON_DEPOSITS_FOREIGN_FFIEC">"c12995"</definedName>
    <definedName name="IQ_INT_RATE_EXPOSURE_FFIEC">"c13058"</definedName>
    <definedName name="IQ_INT_RATE_SPREAD">"c604"</definedName>
    <definedName name="IQ_INT_SAVINGS_DEPOSITS_MMDA_DOM_FFIEC">"c15364"</definedName>
    <definedName name="IQ_INT_SUB_NOTES_FDIC">"c6568"</definedName>
    <definedName name="IQ_INT_SUB_NOTES_FFIEC">"c12998"</definedName>
    <definedName name="IQ_INT_TIME_DEPOSITS_LESS_THAN_100K_DOM_FFIEC">"c12993"</definedName>
    <definedName name="IQ_INT_TIME_DEPOSITS_MORE_THAN_100K_DOM_FFIEC">"c12992"</definedName>
    <definedName name="IQ_INT_TRADING_LIABILITIES_FFIEC">"c12997"</definedName>
    <definedName name="IQ_INT_TRANSACTION_ACCOUNTS_DOM_FFIEC">"c15363"</definedName>
    <definedName name="IQ_INTANGIBLES_NET">"c1407"</definedName>
    <definedName name="IQ_INTEREST_ACCRUED_ON_DEPOSITS_DOM_FFIEC">"c15277"</definedName>
    <definedName name="IQ_INTEREST_BEARING_BALANCES_FDIC">"c6371"</definedName>
    <definedName name="IQ_INTEREST_BEARING_BALANCES_QUARTERLY_AVG_FFIEC">"c15467"</definedName>
    <definedName name="IQ_INTEREST_BEARING_CASH_FFIEC">"c15259"</definedName>
    <definedName name="IQ_INTEREST_BEARING_CASH_FOREIGN_FFIEC">"c12776"</definedName>
    <definedName name="IQ_INTEREST_BEARING_CASH_US_FFIEC">"c12775"</definedName>
    <definedName name="IQ_INTEREST_BEARING_DEPOSITS_DOMESTIC_FDIC">"c6478"</definedName>
    <definedName name="IQ_INTEREST_BEARING_DEPOSITS_FDIC">"c6373"</definedName>
    <definedName name="IQ_INTEREST_BEARING_DEPOSITS_FOREIGN_FDIC">"c6485"</definedName>
    <definedName name="IQ_INTEREST_BEARING_TRANS_DOM_QUARTERLY_AVG_FFIEC">"c15484"</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TEREST_RATE_CONTRACTS_FDIC">"c6512"</definedName>
    <definedName name="IQ_INTEREST_RATE_EXPOSURES_FDIC">"c6662"</definedName>
    <definedName name="IQ_INTERNAL_ALLOCATIONS_INC_EXP_FOREIGN_FFIEC">"c15394"</definedName>
    <definedName name="IQ_INV_10YR_ANN_CAGR">"c6164"</definedName>
    <definedName name="IQ_INV_10YR_ANN_GROWTH">"c1930"</definedName>
    <definedName name="IQ_INV_1YR_ANN_GROWTH">"c1925"</definedName>
    <definedName name="IQ_INV_2YR_ANN_CAGR">"c6160"</definedName>
    <definedName name="IQ_INV_2YR_ANN_GROWTH">"c1926"</definedName>
    <definedName name="IQ_INV_3YR_ANN_CAGR">"c6161"</definedName>
    <definedName name="IQ_INV_3YR_ANN_GROWTH">"c1927"</definedName>
    <definedName name="IQ_INV_5YR_ANN_CAGR">"c6162"</definedName>
    <definedName name="IQ_INV_5YR_ANN_GROWTH">"c1928"</definedName>
    <definedName name="IQ_INV_7YR_ANN_CAGR">"c6163"</definedName>
    <definedName name="IQ_INV_7YR_ANN_GROWTH">"c1929"</definedName>
    <definedName name="IQ_INV_BANKING_FEE">"c620"</definedName>
    <definedName name="IQ_INV_METHOD">"c621"</definedName>
    <definedName name="IQ_INV_REL_ID">"c15220"</definedName>
    <definedName name="IQ_INV_REL_NAME">"c15219"</definedName>
    <definedName name="IQ_INVENTORIES">"c6901"</definedName>
    <definedName name="IQ_INVENTORIES_APR">"c7561"</definedName>
    <definedName name="IQ_INVENTORIES_APR_FC">"c8441"</definedName>
    <definedName name="IQ_INVENTORIES_FC">"c7781"</definedName>
    <definedName name="IQ_INVENTORIES_POP">"c7121"</definedName>
    <definedName name="IQ_INVENTORIES_POP_FC">"c8001"</definedName>
    <definedName name="IQ_INVENTORIES_YOY">"c7341"</definedName>
    <definedName name="IQ_INVENTORIES_YOY_FC">"c8221"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GOV_SECURITY">"c5510"</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"c6227"</definedName>
    <definedName name="IQ_INVEST_LOANS_CF_REIT">"c633"</definedName>
    <definedName name="IQ_INVEST_LOANS_CF_UTI">"c634"</definedName>
    <definedName name="IQ_INVEST_MUNI_SECURITY">"c5512"</definedName>
    <definedName name="IQ_INVEST_REAL_ESTATE">"c635"</definedName>
    <definedName name="IQ_INVEST_SECURITIES_ASSETS_TOT_FFIEC">"c13440"</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"c6228"</definedName>
    <definedName name="IQ_INVEST_SECURITY_CF_REIT">"c642"</definedName>
    <definedName name="IQ_INVEST_SECURITY_CF_UTI">"c643"</definedName>
    <definedName name="IQ_INVEST_SECURITY_SUPPL">"c5511"</definedName>
    <definedName name="IQ_INVEST_UNCONSOLIDATED_SUBS_FFIEC">"c12834"</definedName>
    <definedName name="IQ_INVESTMENT_BANKING_BROKERAGE_FEES_FFIEC">"c13627"</definedName>
    <definedName name="IQ_INVESTMENT_BANKING_FEES_COMMISSIONS_FFIEC">"c13006"</definedName>
    <definedName name="IQ_INVESTMENT_BANKING_OTHER_FEES_FDIC">"c6666"</definedName>
    <definedName name="IQ_IPRD">"c644"</definedName>
    <definedName name="IQ_IPRD_SUPPLE">"c13813"</definedName>
    <definedName name="IQ_IRA_KEOGH_ACCOUNTS_FDIC">"c6496"</definedName>
    <definedName name="IQ_ISIN">"c12041"</definedName>
    <definedName name="IQ_ISM_INDEX">"c6902"</definedName>
    <definedName name="IQ_ISM_INDEX_APR">"c7562"</definedName>
    <definedName name="IQ_ISM_INDEX_APR_FC">"c8442"</definedName>
    <definedName name="IQ_ISM_INDEX_FC">"c7782"</definedName>
    <definedName name="IQ_ISM_INDEX_POP">"c7122"</definedName>
    <definedName name="IQ_ISM_INDEX_POP_FC">"c8002"</definedName>
    <definedName name="IQ_ISM_INDEX_YOY">"c7342"</definedName>
    <definedName name="IQ_ISM_INDEX_YOY_FC">"c8222"</definedName>
    <definedName name="IQ_ISM_SERVICES_APR_FC_UNUSED">"c8443"</definedName>
    <definedName name="IQ_ISM_SERVICES_APR_FC_UNUSED_UNUSED_UNUSED">"c8443"</definedName>
    <definedName name="IQ_ISM_SERVICES_APR_UNUSED">"c7563"</definedName>
    <definedName name="IQ_ISM_SERVICES_APR_UNUSED_UNUSED_UNUSED">"c7563"</definedName>
    <definedName name="IQ_ISM_SERVICES_FC_UNUSED">"c7783"</definedName>
    <definedName name="IQ_ISM_SERVICES_FC_UNUSED_UNUSED_UNUSED">"c7783"</definedName>
    <definedName name="IQ_ISM_SERVICES_INDEX">"c11862"</definedName>
    <definedName name="IQ_ISM_SERVICES_INDEX_APR">"c11865"</definedName>
    <definedName name="IQ_ISM_SERVICES_INDEX_POP">"c11863"</definedName>
    <definedName name="IQ_ISM_SERVICES_INDEX_YOY">"c11864"</definedName>
    <definedName name="IQ_ISM_SERVICES_POP_FC_UNUSED">"c8003"</definedName>
    <definedName name="IQ_ISM_SERVICES_POP_FC_UNUSED_UNUSED_UNUSED">"c8003"</definedName>
    <definedName name="IQ_ISM_SERVICES_POP_UNUSED">"c7123"</definedName>
    <definedName name="IQ_ISM_SERVICES_POP_UNUSED_UNUSED_UNUSED">"c7123"</definedName>
    <definedName name="IQ_ISM_SERVICES_UNUSED">"c6903"</definedName>
    <definedName name="IQ_ISM_SERVICES_UNUSED_UNUSED_UNUSED">"c6903"</definedName>
    <definedName name="IQ_ISM_SERVICES_YOY_FC_UNUSED">"c8223"</definedName>
    <definedName name="IQ_ISM_SERVICES_YOY_FC_UNUSED_UNUSED_UNUSED">"c8223"</definedName>
    <definedName name="IQ_ISM_SERVICES_YOY_UNUSED">"c7343"</definedName>
    <definedName name="IQ_ISM_SERVICES_YOY_UNUSED_UNUSED_UNUSED">"c7343"</definedName>
    <definedName name="IQ_ISS_DEBT_NET">"c1391"</definedName>
    <definedName name="IQ_ISS_STOCK_NET">"c1601"</definedName>
    <definedName name="IQ_ISSUE_CURRENCY">"c2156"</definedName>
    <definedName name="IQ_ISSUE_NAME">"c2142"</definedName>
    <definedName name="IQ_ISSUED_GUARANTEED_US_FDIC">"c6404"</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KEY_DEV_COMPANY_ID">"c13830"</definedName>
    <definedName name="IQ_KEY_DEV_COMPANY_NAME">"c13829"</definedName>
    <definedName name="IQ_KEY_DEV_DATE">"c13763"</definedName>
    <definedName name="IQ_KEY_DEV_HEADLINE">"c13761"</definedName>
    <definedName name="IQ_KEY_DEV_ID">"c13760"</definedName>
    <definedName name="IQ_KEY_DEV_ID_INCL_SUBS">"c13832"</definedName>
    <definedName name="IQ_KEY_DEV_SITUATION">"c13762"</definedName>
    <definedName name="IQ_KEY_DEV_SOURCE">"c13765"</definedName>
    <definedName name="IQ_KEY_DEV_TIME">"c13833"</definedName>
    <definedName name="IQ_KEY_DEV_TRANSACTION_ID">"c13766"</definedName>
    <definedName name="IQ_KEY_DEV_TYPE">"c13764"</definedName>
    <definedName name="IQ_LAND">"c645"</definedName>
    <definedName name="IQ_LARGE_CAP_LABOR_COST_INDEX">"c6904"</definedName>
    <definedName name="IQ_LARGE_CAP_LABOR_COST_INDEX_APR">"c7564"</definedName>
    <definedName name="IQ_LARGE_CAP_LABOR_COST_INDEX_APR_FC">"c8444"</definedName>
    <definedName name="IQ_LARGE_CAP_LABOR_COST_INDEX_FC">"c7784"</definedName>
    <definedName name="IQ_LARGE_CAP_LABOR_COST_INDEX_POP">"c7124"</definedName>
    <definedName name="IQ_LARGE_CAP_LABOR_COST_INDEX_POP_FC">"c8004"</definedName>
    <definedName name="IQ_LARGE_CAP_LABOR_COST_INDEX_YOY">"c7344"</definedName>
    <definedName name="IQ_LARGE_CAP_LABOR_COST_INDEX_YOY_FC">"c8224"</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_MONTHLY_FACTOR">"c8971"</definedName>
    <definedName name="IQ_LATEST_MONTHLY_FACTOR_DATE">"c8972"</definedName>
    <definedName name="IQ_LATESTK">1000</definedName>
    <definedName name="IQ_LATESTQ">500</definedName>
    <definedName name="IQ_LEAD_UNDERWRITER">"c8957"</definedName>
    <definedName name="IQ_LEASE_FIN_RECEIVABLES_NON_US_CHARGE_OFFS_FFIEC">"c13631"</definedName>
    <definedName name="IQ_LEASE_FIN_RECEIVABLES_NON_US_RECOV_FFIEC">"c13635"</definedName>
    <definedName name="IQ_LEASE_FIN_RECEIVABLES_US_CHARGE_OFFS_FFIEC">"c13630"</definedName>
    <definedName name="IQ_LEASE_FIN_RECEIVABLES_US_RECOV_FFIEC">"c13634"</definedName>
    <definedName name="IQ_LEASE_FINANCE">"c5654"</definedName>
    <definedName name="IQ_LEASE_FINANCING_REC_DUE_30_89_FFIEC">"c13276"</definedName>
    <definedName name="IQ_LEASE_FINANCING_REC_DUE_90_FFIEC">"c13302"</definedName>
    <definedName name="IQ_LEASE_FINANCING_REC_NON_ACCRUAL_FFIEC">"c13328"</definedName>
    <definedName name="IQ_LEASE_FINANCING_RECEIVABLES_CHARGE_OFFS_FDIC">"c6602"</definedName>
    <definedName name="IQ_LEASE_FINANCING_RECEIVABLES_DOM_FFIEC">"c12915"</definedName>
    <definedName name="IQ_LEASE_FINANCING_RECEIVABLES_FDIC">"c6433"</definedName>
    <definedName name="IQ_LEASE_FINANCING_RECEIVABLES_NET_CHARGE_OFFS_FDIC">"c6640"</definedName>
    <definedName name="IQ_LEASE_FINANCING_RECEIVABLES_QUARTERLY_AVG_FFIEC">"c15483"</definedName>
    <definedName name="IQ_LEASE_FINANCING_RECEIVABLES_RECOVERIES_FDIC">"c6621"</definedName>
    <definedName name="IQ_LEASE_FINANCING_RECEIVABLES_TOTAL_LOANS_FOREIGN_FDIC">"c6449"</definedName>
    <definedName name="IQ_LEASE_RECEIVABLES_FOREIGN_FFIEC">"c13483"</definedName>
    <definedName name="IQ_LEASES_INDIVIDUALS_CHARGE_OFFS_FFIEC">"c13184"</definedName>
    <definedName name="IQ_LEASES_INDIVIDUALS_RECOV_FFIEC">"c13206"</definedName>
    <definedName name="IQ_LEASES_PERSONAL_EXP_DUE_30_89_FFIEC">"c13277"</definedName>
    <definedName name="IQ_LEASES_PERSONAL_EXP_DUE_90_FFIEC">"c13303"</definedName>
    <definedName name="IQ_LEASES_PERSONAL_EXP_NON_ACCRUAL_FFIEC">"c13329"</definedName>
    <definedName name="IQ_LEGAL_FEES_FFIEC">"c13052"</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"c6229"</definedName>
    <definedName name="IQ_LEGAL_SETTLE_REIT">"c652"</definedName>
    <definedName name="IQ_LEGAL_SETTLE_SUPPLE">"c13815"</definedName>
    <definedName name="IQ_LEGAL_SETTLE_UTI">"c653"</definedName>
    <definedName name="IQ_LEVERAGE_RATIO">"c654"</definedName>
    <definedName name="IQ_LEVERED_FCF">"c1907"</definedName>
    <definedName name="IQ_LFCF_10YR_ANN_CAGR">"c6174"</definedName>
    <definedName name="IQ_LFCF_10YR_ANN_GROWTH">"c1942"</definedName>
    <definedName name="IQ_LFCF_1YR_ANN_GROWTH">"c1937"</definedName>
    <definedName name="IQ_LFCF_2YR_ANN_CAGR">"c6170"</definedName>
    <definedName name="IQ_LFCF_2YR_ANN_GROWTH">"c1938"</definedName>
    <definedName name="IQ_LFCF_3YR_ANN_CAGR">"c6171"</definedName>
    <definedName name="IQ_LFCF_3YR_ANN_GROWTH">"c1939"</definedName>
    <definedName name="IQ_LFCF_5YR_ANN_CAGR">"c6172"</definedName>
    <definedName name="IQ_LFCF_5YR_ANN_GROWTH">"c1940"</definedName>
    <definedName name="IQ_LFCF_7YR_ANN_CAGR">"c6173"</definedName>
    <definedName name="IQ_LFCF_7YR_ANN_GROWTH">"c1941"</definedName>
    <definedName name="IQ_LFCF_MARGIN">"c1961"</definedName>
    <definedName name="IQ_LH_STATUTORY_SURPLUS">"c2771"</definedName>
    <definedName name="IQ_LIAB_AP">"c8886"</definedName>
    <definedName name="IQ_LIAB_AP_ABS">"c8905"</definedName>
    <definedName name="IQ_LIAB_NAME_AP">"c8924"</definedName>
    <definedName name="IQ_LIAB_NAME_AP_ABS">"c8943"</definedName>
    <definedName name="IQ_LIABILITIES_FAIR_VALUE">"c13848"</definedName>
    <definedName name="IQ_LIABILITIES_LEVEL_1">"c13844"</definedName>
    <definedName name="IQ_LIABILITIES_LEVEL_2">"c13845"</definedName>
    <definedName name="IQ_LIABILITIES_LEVEL_3">"c13846"</definedName>
    <definedName name="IQ_LIABILITIES_NETTING_OTHER_ADJUSTMENTS">"c13847"</definedName>
    <definedName name="IQ_LIABILITY_ACCEPTANCES_OUT_FFIEC">"c12866"</definedName>
    <definedName name="IQ_LIABILITY_SHORT_POSITIONS_DOM_FFIEC">"c12941"</definedName>
    <definedName name="IQ_LICENSED_POPS">"c2123"</definedName>
    <definedName name="IQ_LIFE_EARNED">"c2739"</definedName>
    <definedName name="IQ_LIFE_INSURANCE_ASSETS_FDIC">"c6372"</definedName>
    <definedName name="IQ_LIFE_INSURANCE_ASSETS_FFIEC">"c12847"</definedName>
    <definedName name="IQ_LIFOR">"c655"</definedName>
    <definedName name="IQ_LIQUID_ASSETS_ASSETS_TOT_FFIEC">"c13439"</definedName>
    <definedName name="IQ_LIQUID_ASSETS_NONCORE_FUNDING_FFIEC">"c13339"</definedName>
    <definedName name="IQ_LIQUIDATION_VALUE_PREFERRED_CONVERT">"c13835"</definedName>
    <definedName name="IQ_LIQUIDATION_VALUE_PREFERRED_NON_REDEEM">"c13836"</definedName>
    <definedName name="IQ_LIQUIDATION_VALUE_PREFERRED_REDEEM">"c13837"</definedName>
    <definedName name="IQ_LL">"c656"</definedName>
    <definedName name="IQ_LOAN_ALLOW_GROSS_LOANS_FFIEC">"c13415"</definedName>
    <definedName name="IQ_LOAN_ALLOWANCE_GROSS_LOSSES_FFIEC">"c13352"</definedName>
    <definedName name="IQ_LOAN_ALLOWANCE_NET_LOANS_FFIEC">"c13472"</definedName>
    <definedName name="IQ_LOAN_ALLOWANCE_NONACCRUAL_ASSETS_FFIEC">"c13473"</definedName>
    <definedName name="IQ_LOAN_ALLOWANCE_PAST_DUE_NONACCRUAL_FFIEC">"c13474"</definedName>
    <definedName name="IQ_LOAN_COMMITMENTS_FAIR_VALUE_TOT_FFIEC">"c13216"</definedName>
    <definedName name="IQ_LOAN_COMMITMENTS_LEVEL_1_FFIEC">"c13224"</definedName>
    <definedName name="IQ_LOAN_COMMITMENTS_LEVEL_2_FFIEC">"c13232"</definedName>
    <definedName name="IQ_LOAN_COMMITMENTS_LEVEL_3_FFIEC">"c13240"</definedName>
    <definedName name="IQ_LOAN_COMMITMENTS_REVOLVING_FDIC">"c6524"</definedName>
    <definedName name="IQ_LOAN_LEASE_RECEIV">"c657"</definedName>
    <definedName name="IQ_LOAN_LOSS">"c1386"</definedName>
    <definedName name="IQ_LOAN_LOSS_ALLOW_FDIC">"c6326"</definedName>
    <definedName name="IQ_LOAN_LOSS_ALLOWANCE_NON_PERF_ASSETS_FFIEC">"c13912"</definedName>
    <definedName name="IQ_LOAN_LOSS_ALLOWANCE_NONCURRENT_LOANS_FDIC">"c6740"</definedName>
    <definedName name="IQ_LOAN_LOSS_PROVISION_FOREIGN_FFIEC">"c15382"</definedName>
    <definedName name="IQ_LOAN_LOSSES_AVERAGE_LOANS_FFIEC">"c13350"</definedName>
    <definedName name="IQ_LOAN_LOSSES_FDIC">"c6580"</definedName>
    <definedName name="IQ_LOAN_SERVICE_REV">"c658"</definedName>
    <definedName name="IQ_LOANS_AGRICULTURAL_PROD_LL_REC_FFIEC">"c12886"</definedName>
    <definedName name="IQ_LOANS_AND_LEASES_HELD_FDIC">"c6367"</definedName>
    <definedName name="IQ_LOANS_CF">"c659"</definedName>
    <definedName name="IQ_LOANS_CF_BNK">"c660"</definedName>
    <definedName name="IQ_LOANS_CF_BR">"c661"</definedName>
    <definedName name="IQ_LOANS_CF_FIN">"c662"</definedName>
    <definedName name="IQ_LOANS_CF_INS">"c663"</definedName>
    <definedName name="IQ_LOANS_CF_RE">"c6230"</definedName>
    <definedName name="IQ_LOANS_CF_REIT">"c664"</definedName>
    <definedName name="IQ_LOANS_CF_UTI">"c665"</definedName>
    <definedName name="IQ_LOANS_DEPOSITORY_INST_US_LL_REC_FFIEC">"c12884"</definedName>
    <definedName name="IQ_LOANS_DEPOSITORY_INSTITUTIONS_FDIC">"c6382"</definedName>
    <definedName name="IQ_LOANS_DOM_QUARTERLY_AVG_FFIEC">"c13084"</definedName>
    <definedName name="IQ_LOANS_FARMERS_CHARGE_OFFS_FFIEC">"c13177"</definedName>
    <definedName name="IQ_LOANS_FARMERS_RECOV_FFIEC">"c13199"</definedName>
    <definedName name="IQ_LOANS_FINANCE_AGRICULTURAL_DUE_30_89_FFIEC">"c13270"</definedName>
    <definedName name="IQ_LOANS_FINANCE_AGRICULTURAL_DUE_90_FFIEC">"c13296"</definedName>
    <definedName name="IQ_LOANS_FINANCE_AGRICULTURAL_NON_ACCRUAL_FFIEC">"c13322"</definedName>
    <definedName name="IQ_LOANS_FINANCE_AGRICULTURAL_PROD_LL_REC_DOM_FFIEC">"c12909"</definedName>
    <definedName name="IQ_LOANS_FOR_SALE">"c666"</definedName>
    <definedName name="IQ_LOANS_FOREIGN_GOV_CHARGE_OFFS_FFIEC">"c13182"</definedName>
    <definedName name="IQ_LOANS_FOREIGN_GOV_DUE_30_89_FFIEC">"c13274"</definedName>
    <definedName name="IQ_LOANS_FOREIGN_GOV_DUE_90_FFIEC">"c13300"</definedName>
    <definedName name="IQ_LOANS_FOREIGN_GOV_LL_REC_DOM_FFIEC">"c12912"</definedName>
    <definedName name="IQ_LOANS_FOREIGN_GOV_NON_ACCRUAL_FFIEC">"c13326"</definedName>
    <definedName name="IQ_LOANS_FOREIGN_GOV_RECOV_FFIEC">"c13204"</definedName>
    <definedName name="IQ_LOANS_FOREIGN_INST_CHARGE_OFFS_FFIEC">"c13176"</definedName>
    <definedName name="IQ_LOANS_FOREIGN_INST_RECOV_FFIEC">"c13198"</definedName>
    <definedName name="IQ_LOANS_FOREIGN_LL_REC_FFIEC">"c12885"</definedName>
    <definedName name="IQ_LOANS_GOV_GUARANTEED_DUE_30_89_FFIEC">"c13281"</definedName>
    <definedName name="IQ_LOANS_GOV_GUARANTEED_DUE_90_FFIEC">"c13307"</definedName>
    <definedName name="IQ_LOANS_GOV_GUARANTEED_EXCL_GNMA_DUE_30_89_FFIEC">"c13282"</definedName>
    <definedName name="IQ_LOANS_GOV_GUARANTEED_EXCL_GNMA_DUE_90_FFIEC">"c13308"</definedName>
    <definedName name="IQ_LOANS_GOV_GUARANTEED_EXCL_GNMA_NON_ACCRUAL_FFIEC">"c13333"</definedName>
    <definedName name="IQ_LOANS_GOV_GUARANTEED_NON_ACCRUAL_FFIEC">"c13332"</definedName>
    <definedName name="IQ_LOANS_HELD_FOREIGN_FDIC">"c6315"</definedName>
    <definedName name="IQ_LOANS_INDIVIDUALS_FOREIGN_FFIEC">"c13480"</definedName>
    <definedName name="IQ_LOANS_LEASES_ASSETS_TOT_FFIEC">"c13437"</definedName>
    <definedName name="IQ_LOANS_LEASES_FAIR_VALUE_TOT_FFIEC">"c13209"</definedName>
    <definedName name="IQ_LOANS_LEASES_FOREIGN_FDIC">"c6383"</definedName>
    <definedName name="IQ_LOANS_LEASES_GROSS_FDIC">"c6323"</definedName>
    <definedName name="IQ_LOANS_LEASES_GROSS_FOREIGN_FDIC">"c6384"</definedName>
    <definedName name="IQ_LOANS_LEASES_HELD_SALE_FFIEC">"c12808"</definedName>
    <definedName name="IQ_LOANS_LEASES_HFI_FAIR_VALUE_TOT_FFIEC">"c15401"</definedName>
    <definedName name="IQ_LOANS_LEASES_HFI_LEVEL_1_FFIEC">"c15423"</definedName>
    <definedName name="IQ_LOANS_LEASES_HFI_LEVEL_2_FFIEC">"c15436"</definedName>
    <definedName name="IQ_LOANS_LEASES_HFI_LEVEL_3_FFIEC">"c15449"</definedName>
    <definedName name="IQ_LOANS_LEASES_HFS_FAIR_VALUE_TOT_FFIEC">"c15400"</definedName>
    <definedName name="IQ_LOANS_LEASES_HFS_LEVEL_1_FFIEC">"c15422"</definedName>
    <definedName name="IQ_LOANS_LEASES_HFS_LEVEL_2_FFIEC">"c15435"</definedName>
    <definedName name="IQ_LOANS_LEASES_HFS_LEVEL_3_FFIEC">"c15448"</definedName>
    <definedName name="IQ_LOANS_LEASES_LEVEL_1_FFIEC">"c13217"</definedName>
    <definedName name="IQ_LOANS_LEASES_LEVEL_2_FFIEC">"c13225"</definedName>
    <definedName name="IQ_LOANS_LEASES_LEVEL_3_FFIEC">"c13233"</definedName>
    <definedName name="IQ_LOANS_LEASES_NET_FDIC">"c6327"</definedName>
    <definedName name="IQ_LOANS_LEASES_NET_UNEARNED_FDIC">"c6325"</definedName>
    <definedName name="IQ_LOANS_LEASES_NET_UNEARNED_INC_ALLOWANCE_FFIEC">"c12811"</definedName>
    <definedName name="IQ_LOANS_LEASES_NET_UNEARNED_INCOME_FFIEC">"c12809"</definedName>
    <definedName name="IQ_LOANS_LEASES_QUARTERLY_AVG_FFIEC">"c13081"</definedName>
    <definedName name="IQ_LOANS_LOC_ASSETS_TOT_FFIEC">"c13441"</definedName>
    <definedName name="IQ_LOANS_NOT_SECURED_RE_FDIC">"c6381"</definedName>
    <definedName name="IQ_LOANS_PAST_DUE">"c667"</definedName>
    <definedName name="IQ_LOANS_PURCHASING_CARRYING_SECURITIES_LL_REC_DOM_FFIEC">"c12913"</definedName>
    <definedName name="IQ_LOANS_RECEIV_CURRENT">"c668"</definedName>
    <definedName name="IQ_LOANS_RECEIV_LT">"c669"</definedName>
    <definedName name="IQ_LOANS_RECEIV_LT_UTI">"c670"</definedName>
    <definedName name="IQ_LOANS_SEC_RE_FOREIGN_CHARGE_OFFS_FFIEC">"c13174"</definedName>
    <definedName name="IQ_LOANS_SEC_RE_FOREIGN_RECOV_FFIEC">"c13196"</definedName>
    <definedName name="IQ_LOANS_SECURED_1_4_DOM_QUARTERLY_AVG_FFIEC">"c13082"</definedName>
    <definedName name="IQ_LOANS_SECURED_BY_RE_CHARGE_OFFS_FDIC">"c6588"</definedName>
    <definedName name="IQ_LOANS_SECURED_BY_RE_RECOVERIES_FDIC">"c6607"</definedName>
    <definedName name="IQ_LOANS_SECURED_CONSTRUCTION_TRADING_DOM_FFIEC">"c12925"</definedName>
    <definedName name="IQ_LOANS_SECURED_FARMLAND_TRADING_DOM_FFIEC">"c12926"</definedName>
    <definedName name="IQ_LOANS_SECURED_NON_US_FDIC">"c6380"</definedName>
    <definedName name="IQ_LOANS_SECURED_RE_DOM_QUARTERLY_AVG_FFIEC">"c13083"</definedName>
    <definedName name="IQ_LOANS_SECURED_RE_FFIEC">"c12820"</definedName>
    <definedName name="IQ_LOANS_SECURED_RE_LL_REC_FFIEC">"c12883"</definedName>
    <definedName name="IQ_LOANS_SECURED_RE_NET_CHARGE_OFFS_FDIC">"c6626"</definedName>
    <definedName name="IQ_LOANS_TO_DEPOSITORY_INSTITUTIONS_FOREIGN_FDIC">"c6453"</definedName>
    <definedName name="IQ_LOANS_TO_FOREIGN_GOVERNMENTS_FDIC">"c6448"</definedName>
    <definedName name="IQ_LOANS_TO_INDIVIDUALS_FOREIGN_FDIC">"c6452"</definedName>
    <definedName name="IQ_LOANS_US_INST_CHARGE_OFFS_FFIEC">"c13175"</definedName>
    <definedName name="IQ_LOANS_US_INST_RECOV_FFIEC">"c13197"</definedName>
    <definedName name="IQ_LONG_TERM_ASSETS_FDIC">"c6361"</definedName>
    <definedName name="IQ_LONG_TERM_DEBT">"c1387"</definedName>
    <definedName name="IQ_LONG_TERM_DEBT_OVER_TOTAL_CAP">"c1388"</definedName>
    <definedName name="IQ_LONG_TERM_GROWTH">"c671"</definedName>
    <definedName name="IQ_LONG_TERM_INV">"c1389"</definedName>
    <definedName name="IQ_LOSS_ALLOWANCE_LOANS_FDIC">"c6739"</definedName>
    <definedName name="IQ_LOSS_AVAIL_SALE_EQUITY_SEC_T1_FFIEC">"c13132"</definedName>
    <definedName name="IQ_LOSS_LOSS_EXP">"c672"</definedName>
    <definedName name="IQ_LOSS_TO_NET_EARNED">"c2751"</definedName>
    <definedName name="IQ_LOW_TARGET_PRICE">"c1652"</definedName>
    <definedName name="IQ_LOW_TARGET_PRICE_CIQ">"c4660"</definedName>
    <definedName name="IQ_LOWPRICE">"c673"</definedName>
    <definedName name="IQ_LT_ASSETS_AP">"c8882"</definedName>
    <definedName name="IQ_LT_ASSETS_AP_ABS">"c8901"</definedName>
    <definedName name="IQ_LT_ASSETS_NAME_AP">"c8920"</definedName>
    <definedName name="IQ_LT_ASSETS_NAME_AP_ABS">"c8939"</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"c6231"</definedName>
    <definedName name="IQ_LT_DEBT_ISSUED_REIT">"c686"</definedName>
    <definedName name="IQ_LT_DEBT_ISSUED_UTI">"c687"</definedName>
    <definedName name="IQ_LT_DEBT_MATURING_1YR_INT_SENSITIVITY_FFIEC">"c13097"</definedName>
    <definedName name="IQ_LT_DEBT_RE">"c6232"</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"c6233"</definedName>
    <definedName name="IQ_LT_DEBT_REPAID_REIT">"c694"</definedName>
    <definedName name="IQ_LT_DEBT_REPAID_UTI">"c695"</definedName>
    <definedName name="IQ_LT_DEBT_REPRICE_ASSETS_TOT_FFIEC">"c13453"</definedName>
    <definedName name="IQ_LT_DEBT_REPRICING_WITHIN_1_YR_INT_SENSITIVITY_FFIEC">"c13095"</definedName>
    <definedName name="IQ_LT_DEBT_UTI">"c696"</definedName>
    <definedName name="IQ_LT_GROWTH_DET_EST">"c12060"</definedName>
    <definedName name="IQ_LT_GROWTH_DET_EST_CIQ">"c12122"</definedName>
    <definedName name="IQ_LT_GROWTH_DET_EST_DATE">"c12213"</definedName>
    <definedName name="IQ_LT_GROWTH_DET_EST_DATE_CIQ">"c12268"</definedName>
    <definedName name="IQ_LT_GROWTH_DET_EST_INCL">"c12350"</definedName>
    <definedName name="IQ_LT_GROWTH_DET_EST_INCL_CIQ">"c12396"</definedName>
    <definedName name="IQ_LT_GROWTH_DET_EST_ORIGIN">"c12725"</definedName>
    <definedName name="IQ_LT_GROWTH_DET_EST_ORIGIN_CIQ">"c12721"</definedName>
    <definedName name="IQ_LT_INVEST">"c697"</definedName>
    <definedName name="IQ_LT_INVEST_BR">"c698"</definedName>
    <definedName name="IQ_LT_INVEST_FIN">"c699"</definedName>
    <definedName name="IQ_LT_INVEST_RE">"c6234"</definedName>
    <definedName name="IQ_LT_INVEST_REIT">"c700"</definedName>
    <definedName name="IQ_LT_INVEST_UTI">"c701"</definedName>
    <definedName name="IQ_LT_LIAB_AP">"c8885"</definedName>
    <definedName name="IQ_LT_LIAB_AP_ABS">"c8904"</definedName>
    <definedName name="IQ_LT_LIAB_NAME_AP">"c8923"</definedName>
    <definedName name="IQ_LT_LIAB_NAME_AP_ABS">"c8942"</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LTMMONTH">120000</definedName>
    <definedName name="IQ_M1">"c6906"</definedName>
    <definedName name="IQ_M1_APR">"c7566"</definedName>
    <definedName name="IQ_M1_APR_FC">"c8446"</definedName>
    <definedName name="IQ_M1_FC">"c7786"</definedName>
    <definedName name="IQ_M1_POP">"c7126"</definedName>
    <definedName name="IQ_M1_POP_FC">"c8006"</definedName>
    <definedName name="IQ_M1_YOY">"c7346"</definedName>
    <definedName name="IQ_M1_YOY_FC">"c8226"</definedName>
    <definedName name="IQ_M2">"c6907"</definedName>
    <definedName name="IQ_M2_APR">"c7567"</definedName>
    <definedName name="IQ_M2_APR_FC">"c8447"</definedName>
    <definedName name="IQ_M2_FC">"c7787"</definedName>
    <definedName name="IQ_M2_POP">"c7127"</definedName>
    <definedName name="IQ_M2_POP_FC">"c8007"</definedName>
    <definedName name="IQ_M2_YOY">"c7347"</definedName>
    <definedName name="IQ_M2_YOY_FC">"c8227"</definedName>
    <definedName name="IQ_M3">"c6908"</definedName>
    <definedName name="IQ_M3_APR">"c7568"</definedName>
    <definedName name="IQ_M3_APR_FC">"c8448"</definedName>
    <definedName name="IQ_M3_FC">"c7788"</definedName>
    <definedName name="IQ_M3_POP">"c7128"</definedName>
    <definedName name="IQ_M3_POP_FC">"c8008"</definedName>
    <definedName name="IQ_M3_YOY">"c7348"</definedName>
    <definedName name="IQ_M3_YOY_FC">"c8228"</definedName>
    <definedName name="IQ_MACHINERY">"c711"</definedName>
    <definedName name="IQ_MAINT_CAPEX">"c2947"</definedName>
    <definedName name="IQ_MAINT_CAPEX_ACT_OR_EST">"c4458"</definedName>
    <definedName name="IQ_MAINT_CAPEX_ACT_OR_EST_CIQ">"c4987"</definedName>
    <definedName name="IQ_MAINT_CAPEX_EST">"c4457"</definedName>
    <definedName name="IQ_MAINT_CAPEX_EST_CIQ">"c4986"</definedName>
    <definedName name="IQ_MAINT_CAPEX_GUIDANCE">"c4459"</definedName>
    <definedName name="IQ_MAINT_CAPEX_HIGH_EST">"c4460"</definedName>
    <definedName name="IQ_MAINT_CAPEX_HIGH_EST_CIQ">"c4989"</definedName>
    <definedName name="IQ_MAINT_CAPEX_HIGH_GUIDANCE">"c4197"</definedName>
    <definedName name="IQ_MAINT_CAPEX_LOW_EST">"c4461"</definedName>
    <definedName name="IQ_MAINT_CAPEX_LOW_EST_CIQ">"c4990"</definedName>
    <definedName name="IQ_MAINT_CAPEX_LOW_GUIDANCE">"c4237"</definedName>
    <definedName name="IQ_MAINT_CAPEX_MEDIAN_EST">"c4462"</definedName>
    <definedName name="IQ_MAINT_CAPEX_MEDIAN_EST_CIQ">"c4991"</definedName>
    <definedName name="IQ_MAINT_CAPEX_NUM_EST">"c4463"</definedName>
    <definedName name="IQ_MAINT_CAPEX_NUM_EST_CIQ">"c5001"</definedName>
    <definedName name="IQ_MAINT_CAPEX_STDDEV_EST">"c4464"</definedName>
    <definedName name="IQ_MAINT_CAPEX_STDDEV_EST_CIQ">"c5002"</definedName>
    <definedName name="IQ_MAINT_REPAIR">"c2087"</definedName>
    <definedName name="IQ_MAKE_WHOLE_END_DATE">"c2493"</definedName>
    <definedName name="IQ_MAKE_WHOLE_SPREAD">"c2494"</definedName>
    <definedName name="IQ_MAKE_WHOLE_START_DATE">"c2492"</definedName>
    <definedName name="IQ_MAN_INVENTORIES">"c6913"</definedName>
    <definedName name="IQ_MAN_INVENTORIES_APR">"c7573"</definedName>
    <definedName name="IQ_MAN_INVENTORIES_APR_FC">"c8453"</definedName>
    <definedName name="IQ_MAN_INVENTORIES_FC">"c7793"</definedName>
    <definedName name="IQ_MAN_INVENTORIES_POP">"c7133"</definedName>
    <definedName name="IQ_MAN_INVENTORIES_POP_FC">"c8013"</definedName>
    <definedName name="IQ_MAN_INVENTORIES_YOY">"c7353"</definedName>
    <definedName name="IQ_MAN_INVENTORIES_YOY_FC">"c8233"</definedName>
    <definedName name="IQ_MAN_IS_RATIO">"c6912"</definedName>
    <definedName name="IQ_MAN_IS_RATIO_APR">"c7572"</definedName>
    <definedName name="IQ_MAN_IS_RATIO_APR_FC">"c8452"</definedName>
    <definedName name="IQ_MAN_IS_RATIO_FC">"c7792"</definedName>
    <definedName name="IQ_MAN_IS_RATIO_POP">"c7132"</definedName>
    <definedName name="IQ_MAN_IS_RATIO_POP_FC">"c8012"</definedName>
    <definedName name="IQ_MAN_IS_RATIO_YOY">"c7352"</definedName>
    <definedName name="IQ_MAN_IS_RATIO_YOY_FC">"c8232"</definedName>
    <definedName name="IQ_MAN_ORDERS">"c6914"</definedName>
    <definedName name="IQ_MAN_ORDERS_APR">"c7574"</definedName>
    <definedName name="IQ_MAN_ORDERS_APR_FC">"c8454"</definedName>
    <definedName name="IQ_MAN_ORDERS_FC">"c7794"</definedName>
    <definedName name="IQ_MAN_ORDERS_POP">"c7134"</definedName>
    <definedName name="IQ_MAN_ORDERS_POP_FC">"c8014"</definedName>
    <definedName name="IQ_MAN_ORDERS_YOY">"c7354"</definedName>
    <definedName name="IQ_MAN_ORDERS_YOY_FC">"c8234"</definedName>
    <definedName name="IQ_MAN_OUTPUT_HR">"c6915"</definedName>
    <definedName name="IQ_MAN_OUTPUT_HR_APR">"c7575"</definedName>
    <definedName name="IQ_MAN_OUTPUT_HR_APR_FC">"c8455"</definedName>
    <definedName name="IQ_MAN_OUTPUT_HR_FC">"c7795"</definedName>
    <definedName name="IQ_MAN_OUTPUT_HR_POP">"c7135"</definedName>
    <definedName name="IQ_MAN_OUTPUT_HR_POP_FC">"c8015"</definedName>
    <definedName name="IQ_MAN_OUTPUT_HR_YOY">"c7355"</definedName>
    <definedName name="IQ_MAN_OUTPUT_HR_YOY_FC">"c8235"</definedName>
    <definedName name="IQ_MAN_PAYROLLS">"c6916"</definedName>
    <definedName name="IQ_MAN_PAYROLLS_APR">"c7576"</definedName>
    <definedName name="IQ_MAN_PAYROLLS_APR_FC">"c8456"</definedName>
    <definedName name="IQ_MAN_PAYROLLS_FC">"c7796"</definedName>
    <definedName name="IQ_MAN_PAYROLLS_POP">"c7136"</definedName>
    <definedName name="IQ_MAN_PAYROLLS_POP_FC">"c8016"</definedName>
    <definedName name="IQ_MAN_PAYROLLS_YOY">"c7356"</definedName>
    <definedName name="IQ_MAN_PAYROLLS_YOY_FC">"c8236"</definedName>
    <definedName name="IQ_MAN_SHIPMENTS">"c6917"</definedName>
    <definedName name="IQ_MAN_SHIPMENTS_APR">"c7577"</definedName>
    <definedName name="IQ_MAN_SHIPMENTS_APR_FC">"c8457"</definedName>
    <definedName name="IQ_MAN_SHIPMENTS_FC">"c7797"</definedName>
    <definedName name="IQ_MAN_SHIPMENTS_POP">"c7137"</definedName>
    <definedName name="IQ_MAN_SHIPMENTS_POP_FC">"c8017"</definedName>
    <definedName name="IQ_MAN_SHIPMENTS_YOY">"c7357"</definedName>
    <definedName name="IQ_MAN_SHIPMENTS_YOY_FC">"c8237"</definedName>
    <definedName name="IQ_MAN_TOTAL_HR">"c6918"</definedName>
    <definedName name="IQ_MAN_TOTAL_HR_APR">"c7578"</definedName>
    <definedName name="IQ_MAN_TOTAL_HR_APR_FC">"c8458"</definedName>
    <definedName name="IQ_MAN_TOTAL_HR_FC">"c7798"</definedName>
    <definedName name="IQ_MAN_TOTAL_HR_POP">"c7138"</definedName>
    <definedName name="IQ_MAN_TOTAL_HR_POP_FC">"c8018"</definedName>
    <definedName name="IQ_MAN_TOTAL_HR_YOY">"c7358"</definedName>
    <definedName name="IQ_MAN_TOTAL_HR_YOY_FC">"c8238"</definedName>
    <definedName name="IQ_MAN_TRADE_INVENTORIES">"c6910"</definedName>
    <definedName name="IQ_MAN_TRADE_INVENTORIES_APR">"c7570"</definedName>
    <definedName name="IQ_MAN_TRADE_INVENTORIES_APR_FC">"c8450"</definedName>
    <definedName name="IQ_MAN_TRADE_INVENTORIES_FC">"c7790"</definedName>
    <definedName name="IQ_MAN_TRADE_INVENTORIES_POP">"c7130"</definedName>
    <definedName name="IQ_MAN_TRADE_INVENTORIES_POP_FC">"c8010"</definedName>
    <definedName name="IQ_MAN_TRADE_INVENTORIES_YOY">"c7350"</definedName>
    <definedName name="IQ_MAN_TRADE_INVENTORIES_YOY_FC">"c8230"</definedName>
    <definedName name="IQ_MAN_TRADE_IS_RATIO">"c6909"</definedName>
    <definedName name="IQ_MAN_TRADE_IS_RATIO_FC">"c7789"</definedName>
    <definedName name="IQ_MAN_TRADE_IS_RATIO_POP">"c7129"</definedName>
    <definedName name="IQ_MAN_TRADE_IS_RATIO_POP_FC">"c8009"</definedName>
    <definedName name="IQ_MAN_TRADE_IS_RATIO_YOY">"c7349"</definedName>
    <definedName name="IQ_MAN_TRADE_IS_RATIO_YOY_FC">"c8229"</definedName>
    <definedName name="IQ_MAN_TRADE_SALES">"c6911"</definedName>
    <definedName name="IQ_MAN_TRADE_SALES_APR">"c7571"</definedName>
    <definedName name="IQ_MAN_TRADE_SALES_APR_FC">"c8451"</definedName>
    <definedName name="IQ_MAN_TRADE_SALES_FC">"c7791"</definedName>
    <definedName name="IQ_MAN_TRADE_SALES_POP">"c7131"</definedName>
    <definedName name="IQ_MAN_TRADE_SALES_POP_FC">"c8011"</definedName>
    <definedName name="IQ_MAN_TRADE_SALES_YOY">"c7351"</definedName>
    <definedName name="IQ_MAN_TRADE_SALES_YOY_FC">"c8231"</definedName>
    <definedName name="IQ_MAN_WAGES">"c6919"</definedName>
    <definedName name="IQ_MAN_WAGES_APR">"c7579"</definedName>
    <definedName name="IQ_MAN_WAGES_APR_FC">"c8459"</definedName>
    <definedName name="IQ_MAN_WAGES_FC">"c7799"</definedName>
    <definedName name="IQ_MAN_WAGES_POP">"c7139"</definedName>
    <definedName name="IQ_MAN_WAGES_POP_FC">"c8019"</definedName>
    <definedName name="IQ_MAN_WAGES_YOY">"c7359"</definedName>
    <definedName name="IQ_MAN_WAGES_YOY_FC">"c8239"</definedName>
    <definedName name="IQ_MANAGED_PROP">"c8763"</definedName>
    <definedName name="IQ_MANAGED_SQ_FT">"c8779"</definedName>
    <definedName name="IQ_MANAGED_UNITS">"c8771"</definedName>
    <definedName name="IQ_MARGIN_ANNUAL_PREMIUM_EQUIVALENT_NEW_BUSINESS">"c9970"</definedName>
    <definedName name="IQ_MARGIN_PV_PREMIUMS_NEW_BUSINESS">"c9971"</definedName>
    <definedName name="IQ_MARKET_CAP_LFCF">"c2209"</definedName>
    <definedName name="IQ_MARKETCAP">"c712"</definedName>
    <definedName name="IQ_MARKETING">"c2239"</definedName>
    <definedName name="IQ_MATURITY_DATE">"c2146"</definedName>
    <definedName name="IQ_MATURITY_ONE_YEAR_LESS_FDIC">"c6425"</definedName>
    <definedName name="IQ_MBS_INVEST_SECURITIES_FFIEC">"c13460"</definedName>
    <definedName name="IQ_MBS_OTHER_ISSUED_FNMA_OTHERS_AVAIL_SALE_FFIEC">"c12799"</definedName>
    <definedName name="IQ_MBS_OTHER_ISSUED_FNMA_OTHERS_FFIEC">"c12785"</definedName>
    <definedName name="IQ_MBS_PASS_THROUGH_FNMA_AVAIL_SALE_FFIEC">"c12797"</definedName>
    <definedName name="IQ_MBS_PASS_THROUGH_FNMA_FFIEC">"c12783"</definedName>
    <definedName name="IQ_MBS_PASS_THROUGH_GNMA_AVAIL_SALE_FFIEC">"c12796"</definedName>
    <definedName name="IQ_MBS_PASS_THROUGH_GNMA_FFIEC">"c12782"</definedName>
    <definedName name="IQ_MBS_PASS_THROUGH_ISSUED_FNMA_GNMA_TRADING_DOM_FFIEC">"c12921"</definedName>
    <definedName name="IQ_MBS_PASS_THROUGH_OTHER_AVAIL_SALE_FFIEC">"c12798"</definedName>
    <definedName name="IQ_MBS_PASS_THROUGH_OTHER_FFIEC">"c12784"</definedName>
    <definedName name="IQ_MBS_QUARTERLY_AVG_FFIEC">"c15471"</definedName>
    <definedName name="IQ_MC_ASO_COVERED_LIVES">"c9918"</definedName>
    <definedName name="IQ_MC_ASO_MEMBERSHIP">"c9921"</definedName>
    <definedName name="IQ_MC_CLAIMS_RESERVES">"c9941"</definedName>
    <definedName name="IQ_MC_COMBINED_RATIO">"c9933"</definedName>
    <definedName name="IQ_MC_DAYS_CLAIMS_PAYABLE">"c9937"</definedName>
    <definedName name="IQ_MC_DAYS_CLAIMS_PAYABLE_EXCL_CAPITATION">"c9938"</definedName>
    <definedName name="IQ_MC_MEDICAL_COSTS_PMPM">"c9925"</definedName>
    <definedName name="IQ_MC_PARENT_CASH">"c9942"</definedName>
    <definedName name="IQ_MC_PREMIUMS_PMPM">"c9924"</definedName>
    <definedName name="IQ_MC_RATIO">"c2783"</definedName>
    <definedName name="IQ_MC_RECEIPT_CYCLE_TIME_DAYS">"c9939"</definedName>
    <definedName name="IQ_MC_RECEIPT_CYCLE_TIME_MONTHS">"c9940"</definedName>
    <definedName name="IQ_MC_RISK_COVERED_LIVES">"c9917"</definedName>
    <definedName name="IQ_MC_RISK_MEMBERSHIP">"c9920"</definedName>
    <definedName name="IQ_MC_SELLILNG_COSTS_RATIO">"c9928"</definedName>
    <definedName name="IQ_MC_SGA_PMPM">"c9926"</definedName>
    <definedName name="IQ_MC_STATUTORY_SURPLUS">"c2772"</definedName>
    <definedName name="IQ_MC_TOTAL_COVERED_LIVES">"c9919"</definedName>
    <definedName name="IQ_MC_TOTAL_MEMBERSHIP">"c9922"</definedName>
    <definedName name="IQ_MC_TOTAL_MEMBERSHIP_CAPITATION">"c9923"</definedName>
    <definedName name="IQ_MC_UNPROCESSED_CLAIMS_INVENTORY_DAYS">"c9936"</definedName>
    <definedName name="IQ_MC_UNPROCESSED_CLAIMS_INVENTORY_NUMBER">"c9934"</definedName>
    <definedName name="IQ_MC_UNPROCESSED_CLAIMS_INVENTORY_VALUE">"c9935"</definedName>
    <definedName name="IQ_MEASURED_ATTRIB_ORE_RESOURCES_ALUM">"c9237"</definedName>
    <definedName name="IQ_MEASURED_ATTRIB_ORE_RESOURCES_COP">"c9181"</definedName>
    <definedName name="IQ_MEASURED_ATTRIB_ORE_RESOURCES_DIAM">"c9661"</definedName>
    <definedName name="IQ_MEASURED_ATTRIB_ORE_RESOURCES_GOLD">"c9022"</definedName>
    <definedName name="IQ_MEASURED_ATTRIB_ORE_RESOURCES_IRON">"c9396"</definedName>
    <definedName name="IQ_MEASURED_ATTRIB_ORE_RESOURCES_LEAD">"c9449"</definedName>
    <definedName name="IQ_MEASURED_ATTRIB_ORE_RESOURCES_MANG">"c9502"</definedName>
    <definedName name="IQ_MEASURED_ATTRIB_ORE_RESOURCES_MOLYB">"c9714"</definedName>
    <definedName name="IQ_MEASURED_ATTRIB_ORE_RESOURCES_NICK">"c9290"</definedName>
    <definedName name="IQ_MEASURED_ATTRIB_ORE_RESOURCES_PLAT">"c9128"</definedName>
    <definedName name="IQ_MEASURED_ATTRIB_ORE_RESOURCES_SILVER">"c9075"</definedName>
    <definedName name="IQ_MEASURED_ATTRIB_ORE_RESOURCES_TITAN">"c9555"</definedName>
    <definedName name="IQ_MEASURED_ATTRIB_ORE_RESOURCES_URAN">"c9608"</definedName>
    <definedName name="IQ_MEASURED_ATTRIB_ORE_RESOURCES_ZINC">"c9343"</definedName>
    <definedName name="IQ_MEASURED_INDICATED_ATTRIB_ORE_RESOURCES_ALUM">"c9239"</definedName>
    <definedName name="IQ_MEASURED_INDICATED_ATTRIB_ORE_RESOURCES_COP">"c9183"</definedName>
    <definedName name="IQ_MEASURED_INDICATED_ATTRIB_ORE_RESOURCES_DIAM">"c9663"</definedName>
    <definedName name="IQ_MEASURED_INDICATED_ATTRIB_ORE_RESOURCES_GOLD">"c9024"</definedName>
    <definedName name="IQ_MEASURED_INDICATED_ATTRIB_ORE_RESOURCES_IRON">"c9398"</definedName>
    <definedName name="IQ_MEASURED_INDICATED_ATTRIB_ORE_RESOURCES_LEAD">"c9451"</definedName>
    <definedName name="IQ_MEASURED_INDICATED_ATTRIB_ORE_RESOURCES_MANG">"c9504"</definedName>
    <definedName name="IQ_MEASURED_INDICATED_ATTRIB_ORE_RESOURCES_MOLYB">"c9716"</definedName>
    <definedName name="IQ_MEASURED_INDICATED_ATTRIB_ORE_RESOURCES_NICK">"c9292"</definedName>
    <definedName name="IQ_MEASURED_INDICATED_ATTRIB_ORE_RESOURCES_PLAT">"c9130"</definedName>
    <definedName name="IQ_MEASURED_INDICATED_ATTRIB_ORE_RESOURCES_SILVER">"c9077"</definedName>
    <definedName name="IQ_MEASURED_INDICATED_ATTRIB_ORE_RESOURCES_TITAN">"c9557"</definedName>
    <definedName name="IQ_MEASURED_INDICATED_ATTRIB_ORE_RESOURCES_URAN">"c9610"</definedName>
    <definedName name="IQ_MEASURED_INDICATED_ATTRIB_ORE_RESOURCES_ZINC">"c9345"</definedName>
    <definedName name="IQ_MEASURED_INDICATED_ORE_RESOURCES_ALUM">"c9226"</definedName>
    <definedName name="IQ_MEASURED_INDICATED_ORE_RESOURCES_COP">"c9170"</definedName>
    <definedName name="IQ_MEASURED_INDICATED_ORE_RESOURCES_DIAM">"c9650"</definedName>
    <definedName name="IQ_MEASURED_INDICATED_ORE_RESOURCES_GOLD">"c9011"</definedName>
    <definedName name="IQ_MEASURED_INDICATED_ORE_RESOURCES_IRON">"c9385"</definedName>
    <definedName name="IQ_MEASURED_INDICATED_ORE_RESOURCES_LEAD">"c9438"</definedName>
    <definedName name="IQ_MEASURED_INDICATED_ORE_RESOURCES_MANG">"c9491"</definedName>
    <definedName name="IQ_MEASURED_INDICATED_ORE_RESOURCES_MOLYB">"c9703"</definedName>
    <definedName name="IQ_MEASURED_INDICATED_ORE_RESOURCES_NICK">"c9279"</definedName>
    <definedName name="IQ_MEASURED_INDICATED_ORE_RESOURCES_PLAT">"c9117"</definedName>
    <definedName name="IQ_MEASURED_INDICATED_ORE_RESOURCES_SILVER">"c9064"</definedName>
    <definedName name="IQ_MEASURED_INDICATED_ORE_RESOURCES_TITAN">"c9544"</definedName>
    <definedName name="IQ_MEASURED_INDICATED_ORE_RESOURCES_URAN">"c9597"</definedName>
    <definedName name="IQ_MEASURED_INDICATED_ORE_RESOURCES_ZINC">"c9332"</definedName>
    <definedName name="IQ_MEASURED_INDICATED_RECOV_RESOURCES_ALUM">"c9234"</definedName>
    <definedName name="IQ_MEASURED_INDICATED_RECOV_RESOURCES_COAL">"c9813"</definedName>
    <definedName name="IQ_MEASURED_INDICATED_RECOV_RESOURCES_COP">"c9178"</definedName>
    <definedName name="IQ_MEASURED_INDICATED_RECOV_RESOURCES_DIAM">"c9658"</definedName>
    <definedName name="IQ_MEASURED_INDICATED_RECOV_RESOURCES_GOLD">"c9019"</definedName>
    <definedName name="IQ_MEASURED_INDICATED_RECOV_RESOURCES_IRON">"c9393"</definedName>
    <definedName name="IQ_MEASURED_INDICATED_RECOV_RESOURCES_LEAD">"c9446"</definedName>
    <definedName name="IQ_MEASURED_INDICATED_RECOV_RESOURCES_MANG">"c9499"</definedName>
    <definedName name="IQ_MEASURED_INDICATED_RECOV_RESOURCES_MET_COAL">"c9753"</definedName>
    <definedName name="IQ_MEASURED_INDICATED_RECOV_RESOURCES_MOLYB">"c9711"</definedName>
    <definedName name="IQ_MEASURED_INDICATED_RECOV_RESOURCES_NICK">"c9287"</definedName>
    <definedName name="IQ_MEASURED_INDICATED_RECOV_RESOURCES_PLAT">"c9125"</definedName>
    <definedName name="IQ_MEASURED_INDICATED_RECOV_RESOURCES_SILVER">"c9072"</definedName>
    <definedName name="IQ_MEASURED_INDICATED_RECOV_RESOURCES_STEAM">"c9783"</definedName>
    <definedName name="IQ_MEASURED_INDICATED_RECOV_RESOURCES_TITAN">"c9552"</definedName>
    <definedName name="IQ_MEASURED_INDICATED_RECOV_RESOURCES_URAN">"c9605"</definedName>
    <definedName name="IQ_MEASURED_INDICATED_RECOV_RESOURCES_ZINC">"c9340"</definedName>
    <definedName name="IQ_MEASURED_INDICATED_RESOURCES_GRADE_ALUM">"c9227"</definedName>
    <definedName name="IQ_MEASURED_INDICATED_RESOURCES_GRADE_COP">"c9171"</definedName>
    <definedName name="IQ_MEASURED_INDICATED_RESOURCES_GRADE_DIAM">"c9651"</definedName>
    <definedName name="IQ_MEASURED_INDICATED_RESOURCES_GRADE_GOLD">"c9012"</definedName>
    <definedName name="IQ_MEASURED_INDICATED_RESOURCES_GRADE_IRON">"c9386"</definedName>
    <definedName name="IQ_MEASURED_INDICATED_RESOURCES_GRADE_LEAD">"c9439"</definedName>
    <definedName name="IQ_MEASURED_INDICATED_RESOURCES_GRADE_MANG">"c9492"</definedName>
    <definedName name="IQ_MEASURED_INDICATED_RESOURCES_GRADE_MOLYB">"c9704"</definedName>
    <definedName name="IQ_MEASURED_INDICATED_RESOURCES_GRADE_NICK">"c9280"</definedName>
    <definedName name="IQ_MEASURED_INDICATED_RESOURCES_GRADE_PLAT">"c9118"</definedName>
    <definedName name="IQ_MEASURED_INDICATED_RESOURCES_GRADE_SILVER">"c9065"</definedName>
    <definedName name="IQ_MEASURED_INDICATED_RESOURCES_GRADE_TITAN">"c9545"</definedName>
    <definedName name="IQ_MEASURED_INDICATED_RESOURCES_GRADE_URAN">"c9598"</definedName>
    <definedName name="IQ_MEASURED_INDICATED_RESOURCES_GRADE_ZINC">"c9333"</definedName>
    <definedName name="IQ_MEASURED_ORE_RESOURCES_ALUM">"c9222"</definedName>
    <definedName name="IQ_MEASURED_ORE_RESOURCES_COP">"c9166"</definedName>
    <definedName name="IQ_MEASURED_ORE_RESOURCES_DIAM">"c9646"</definedName>
    <definedName name="IQ_MEASURED_ORE_RESOURCES_GOLD">"c9007"</definedName>
    <definedName name="IQ_MEASURED_ORE_RESOURCES_IRON">"c9381"</definedName>
    <definedName name="IQ_MEASURED_ORE_RESOURCES_LEAD">"c9434"</definedName>
    <definedName name="IQ_MEASURED_ORE_RESOURCES_MANG">"c9487"</definedName>
    <definedName name="IQ_MEASURED_ORE_RESOURCES_MOLYB">"c9699"</definedName>
    <definedName name="IQ_MEASURED_ORE_RESOURCES_NICK">"c9275"</definedName>
    <definedName name="IQ_MEASURED_ORE_RESOURCES_PLAT">"c9113"</definedName>
    <definedName name="IQ_MEASURED_ORE_RESOURCES_SILVER">"c9060"</definedName>
    <definedName name="IQ_MEASURED_ORE_RESOURCES_TITAN">"c9540"</definedName>
    <definedName name="IQ_MEASURED_ORE_RESOURCES_URAN">"c9593"</definedName>
    <definedName name="IQ_MEASURED_ORE_RESOURCES_ZINC">"c9328"</definedName>
    <definedName name="IQ_MEASURED_RECOV_ATTRIB_RESOURCES_ALUM">"c9242"</definedName>
    <definedName name="IQ_MEASURED_RECOV_ATTRIB_RESOURCES_COAL">"c9816"</definedName>
    <definedName name="IQ_MEASURED_RECOV_ATTRIB_RESOURCES_COP">"c9186"</definedName>
    <definedName name="IQ_MEASURED_RECOV_ATTRIB_RESOURCES_DIAM">"c9666"</definedName>
    <definedName name="IQ_MEASURED_RECOV_ATTRIB_RESOURCES_GOLD">"c9027"</definedName>
    <definedName name="IQ_MEASURED_RECOV_ATTRIB_RESOURCES_IRON">"c9401"</definedName>
    <definedName name="IQ_MEASURED_RECOV_ATTRIB_RESOURCES_LEAD">"c9454"</definedName>
    <definedName name="IQ_MEASURED_RECOV_ATTRIB_RESOURCES_MANG">"c9507"</definedName>
    <definedName name="IQ_MEASURED_RECOV_ATTRIB_RESOURCES_MET_COAL">"c9756"</definedName>
    <definedName name="IQ_MEASURED_RECOV_ATTRIB_RESOURCES_MOLYB">"c9719"</definedName>
    <definedName name="IQ_MEASURED_RECOV_ATTRIB_RESOURCES_NICK">"c9295"</definedName>
    <definedName name="IQ_MEASURED_RECOV_ATTRIB_RESOURCES_PLAT">"c9133"</definedName>
    <definedName name="IQ_MEASURED_RECOV_ATTRIB_RESOURCES_SILVER">"c9080"</definedName>
    <definedName name="IQ_MEASURED_RECOV_ATTRIB_RESOURCES_STEAM">"c9786"</definedName>
    <definedName name="IQ_MEASURED_RECOV_ATTRIB_RESOURCES_TITAN">"c9560"</definedName>
    <definedName name="IQ_MEASURED_RECOV_ATTRIB_RESOURCES_URAN">"c9613"</definedName>
    <definedName name="IQ_MEASURED_RECOV_ATTRIB_RESOURCES_ZINC">"c9348"</definedName>
    <definedName name="IQ_MEASURED_RECOV_RESOURCES_ALUM">"c9232"</definedName>
    <definedName name="IQ_MEASURED_RECOV_RESOURCES_COAL">"c9811"</definedName>
    <definedName name="IQ_MEASURED_RECOV_RESOURCES_COP">"c9176"</definedName>
    <definedName name="IQ_MEASURED_RECOV_RESOURCES_DIAM">"c9656"</definedName>
    <definedName name="IQ_MEASURED_RECOV_RESOURCES_GOLD">"c9017"</definedName>
    <definedName name="IQ_MEASURED_RECOV_RESOURCES_IRON">"c9391"</definedName>
    <definedName name="IQ_MEASURED_RECOV_RESOURCES_LEAD">"c9444"</definedName>
    <definedName name="IQ_MEASURED_RECOV_RESOURCES_MANG">"c9497"</definedName>
    <definedName name="IQ_MEASURED_RECOV_RESOURCES_MET_COAL">"c9751"</definedName>
    <definedName name="IQ_MEASURED_RECOV_RESOURCES_MOLYB">"c9709"</definedName>
    <definedName name="IQ_MEASURED_RECOV_RESOURCES_NICK">"c9285"</definedName>
    <definedName name="IQ_MEASURED_RECOV_RESOURCES_PLAT">"c9123"</definedName>
    <definedName name="IQ_MEASURED_RECOV_RESOURCES_SILVER">"c9070"</definedName>
    <definedName name="IQ_MEASURED_RECOV_RESOURCES_STEAM">"c9781"</definedName>
    <definedName name="IQ_MEASURED_RECOV_RESOURCES_TITAN">"c9550"</definedName>
    <definedName name="IQ_MEASURED_RECOV_RESOURCES_URAN">"c9603"</definedName>
    <definedName name="IQ_MEASURED_RECOV_RESOURCES_ZINC">"c9338"</definedName>
    <definedName name="IQ_MEASURED_RESOURCES_CALORIFIC_VALUE_COAL">"c9806"</definedName>
    <definedName name="IQ_MEASURED_RESOURCES_CALORIFIC_VALUE_MET_COAL">"c9746"</definedName>
    <definedName name="IQ_MEASURED_RESOURCES_CALORIFIC_VALUE_STEAM">"c9776"</definedName>
    <definedName name="IQ_MEASURED_RESOURCES_GRADE_ALUM">"c9223"</definedName>
    <definedName name="IQ_MEASURED_RESOURCES_GRADE_COP">"c9167"</definedName>
    <definedName name="IQ_MEASURED_RESOURCES_GRADE_DIAM">"c9647"</definedName>
    <definedName name="IQ_MEASURED_RESOURCES_GRADE_GOLD">"c9008"</definedName>
    <definedName name="IQ_MEASURED_RESOURCES_GRADE_IRON">"c9382"</definedName>
    <definedName name="IQ_MEASURED_RESOURCES_GRADE_LEAD">"c9435"</definedName>
    <definedName name="IQ_MEASURED_RESOURCES_GRADE_MANG">"c9488"</definedName>
    <definedName name="IQ_MEASURED_RESOURCES_GRADE_MOLYB">"c9700"</definedName>
    <definedName name="IQ_MEASURED_RESOURCES_GRADE_NICK">"c9276"</definedName>
    <definedName name="IQ_MEASURED_RESOURCES_GRADE_PLAT">"c9114"</definedName>
    <definedName name="IQ_MEASURED_RESOURCES_GRADE_SILVER">"c9061"</definedName>
    <definedName name="IQ_MEASURED_RESOURCES_GRADE_TITAN">"c9541"</definedName>
    <definedName name="IQ_MEASURED_RESOURCES_GRADE_URAN">"c9594"</definedName>
    <definedName name="IQ_MEASURED_RESOURCES_GRADE_ZINC">"c9329"</definedName>
    <definedName name="IQ_MEDIAN_NEW_HOME_SALES_APR_FC_UNUSED">"c8460"</definedName>
    <definedName name="IQ_MEDIAN_NEW_HOME_SALES_APR_FC_UNUSED_UNUSED_UNUSED">"c8460"</definedName>
    <definedName name="IQ_MEDIAN_NEW_HOME_SALES_APR_UNUSED">"c7580"</definedName>
    <definedName name="IQ_MEDIAN_NEW_HOME_SALES_APR_UNUSED_UNUSED_UNUSED">"c7580"</definedName>
    <definedName name="IQ_MEDIAN_NEW_HOME_SALES_FC_UNUSED">"c7800"</definedName>
    <definedName name="IQ_MEDIAN_NEW_HOME_SALES_FC_UNUSED_UNUSED_UNUSED">"c7800"</definedName>
    <definedName name="IQ_MEDIAN_NEW_HOME_SALES_POP_FC_UNUSED">"c8020"</definedName>
    <definedName name="IQ_MEDIAN_NEW_HOME_SALES_POP_FC_UNUSED_UNUSED_UNUSED">"c8020"</definedName>
    <definedName name="IQ_MEDIAN_NEW_HOME_SALES_POP_UNUSED">"c7140"</definedName>
    <definedName name="IQ_MEDIAN_NEW_HOME_SALES_POP_UNUSED_UNUSED_UNUSED">"c7140"</definedName>
    <definedName name="IQ_MEDIAN_NEW_HOME_SALES_UNUSED">"c6920"</definedName>
    <definedName name="IQ_MEDIAN_NEW_HOME_SALES_UNUSED_UNUSED_UNUSED">"c6920"</definedName>
    <definedName name="IQ_MEDIAN_NEW_HOME_SALES_YOY_FC_UNUSED">"c8240"</definedName>
    <definedName name="IQ_MEDIAN_NEW_HOME_SALES_YOY_FC_UNUSED_UNUSED_UNUSED">"c8240"</definedName>
    <definedName name="IQ_MEDIAN_NEW_HOME_SALES_YOY_UNUSED">"c7360"</definedName>
    <definedName name="IQ_MEDIAN_NEW_HOME_SALES_YOY_UNUSED_UNUSED_UNUSED">"c7360"</definedName>
    <definedName name="IQ_MEDIAN_TARGET_PRICE">"c1650"</definedName>
    <definedName name="IQ_MEDIAN_TARGET_PRICE_CIQ">"c4658"</definedName>
    <definedName name="IQ_MERGER">"c713"</definedName>
    <definedName name="IQ_MERGER_BNK">"c714"</definedName>
    <definedName name="IQ_MERGER_BR">"c715"</definedName>
    <definedName name="IQ_MERGER_FIN">"c716"</definedName>
    <definedName name="IQ_MERGER_INS">"c717"</definedName>
    <definedName name="IQ_MERGER_RE">"c6235"</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"c6236"</definedName>
    <definedName name="IQ_MERGER_RESTRUCTURE_REIT">"c724"</definedName>
    <definedName name="IQ_MERGER_RESTRUCTURE_UTI">"c725"</definedName>
    <definedName name="IQ_MERGER_SUPPLE">"c13810"</definedName>
    <definedName name="IQ_MERGER_UTI">"c726"</definedName>
    <definedName name="IQ_MI_RECOV_ATTRIB_RESOURCES_ALUM">"c9244"</definedName>
    <definedName name="IQ_MI_RECOV_ATTRIB_RESOURCES_COAL">"c9818"</definedName>
    <definedName name="IQ_MI_RECOV_ATTRIB_RESOURCES_COP">"c9188"</definedName>
    <definedName name="IQ_MI_RECOV_ATTRIB_RESOURCES_DIAM">"c9668"</definedName>
    <definedName name="IQ_MI_RECOV_ATTRIB_RESOURCES_GOLD">"c9029"</definedName>
    <definedName name="IQ_MI_RECOV_ATTRIB_RESOURCES_IRON">"c9403"</definedName>
    <definedName name="IQ_MI_RECOV_ATTRIB_RESOURCES_LEAD">"c9456"</definedName>
    <definedName name="IQ_MI_RECOV_ATTRIB_RESOURCES_MANG">"c9509"</definedName>
    <definedName name="IQ_MI_RECOV_ATTRIB_RESOURCES_MET_COAL">"c9758"</definedName>
    <definedName name="IQ_MI_RECOV_ATTRIB_RESOURCES_MOLYB">"c9721"</definedName>
    <definedName name="IQ_MI_RECOV_ATTRIB_RESOURCES_NICK">"c9297"</definedName>
    <definedName name="IQ_MI_RECOV_ATTRIB_RESOURCES_PLAT">"c9135"</definedName>
    <definedName name="IQ_MI_RECOV_ATTRIB_RESOURCES_SILVER">"c9082"</definedName>
    <definedName name="IQ_MI_RECOV_ATTRIB_RESOURCES_STEAM">"c9788"</definedName>
    <definedName name="IQ_MI_RECOV_ATTRIB_RESOURCES_TITAN">"c9562"</definedName>
    <definedName name="IQ_MI_RECOV_ATTRIB_RESOURCES_URAN">"c9615"</definedName>
    <definedName name="IQ_MI_RECOV_ATTRIB_RESOURCES_ZINC">"c9350"</definedName>
    <definedName name="IQ_MI_RESOURCES_CALORIFIC_VALUE_COAL">"c9808"</definedName>
    <definedName name="IQ_MI_RESOURCES_CALORIFIC_VALUE_MET_COAL">"c9748"</definedName>
    <definedName name="IQ_MI_RESOURCES_CALORIFIC_VALUE_STEAM">"c9778"</definedName>
    <definedName name="IQ_MINORITY_INT_AVG_ASSETS_FFIEC">"c13367"</definedName>
    <definedName name="IQ_MINORITY_INT_BS_FFIEC">"c12874"</definedName>
    <definedName name="IQ_MINORITY_INT_FFIEC">"c13031"</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"c6237"</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"c742"</definedName>
    <definedName name="IQ_MKTCAP_TOTAL_REV_FWD_CIQ">"c4041"</definedName>
    <definedName name="IQ_MM_ACCOUNT">"c743"</definedName>
    <definedName name="IQ_MM_ACCRETION_EXPENSE">"c9845"</definedName>
    <definedName name="IQ_MM_ARO_BEG">"c9842"</definedName>
    <definedName name="IQ_MM_ARO_TOTAL">"c9850"</definedName>
    <definedName name="IQ_MM_CURRENT_PORT_ARO">"c9851"</definedName>
    <definedName name="IQ_MM_DEVELOPED_ACREAGE">"c9832"</definedName>
    <definedName name="IQ_MM_DEVELOPED_SQ_KMS">"c9831"</definedName>
    <definedName name="IQ_MM_DEVELOPED_SQ_MILES">"c9833"</definedName>
    <definedName name="IQ_MM_EXPLORATION_EXPENDITURE_TOT">"c9840"</definedName>
    <definedName name="IQ_MM_FX_ADJUSTMENT">"c9847"</definedName>
    <definedName name="IQ_MM_LIABILITIES_INCURRED_ACQUIRED">"c9843"</definedName>
    <definedName name="IQ_MM_LIABILITIES_REL_SPIN_OFFS">"c9848"</definedName>
    <definedName name="IQ_MM_LIABILITIES_SETTLED_DISPOSED">"c9844"</definedName>
    <definedName name="IQ_MM_NON_CURRENT_PORT_ARO">"c9852"</definedName>
    <definedName name="IQ_MM_NUMBER_MINES">"c9839"</definedName>
    <definedName name="IQ_MM_OTHER_ADJUSTMENTS_ARO">"c9849"</definedName>
    <definedName name="IQ_MM_REMAINING_MINE_LIFE">"c9838"</definedName>
    <definedName name="IQ_MM_RESOURCES_INCL_EXCL_RESERVES">"c9841"</definedName>
    <definedName name="IQ_MM_REVISIONS_ESTIMATE">"c9846"</definedName>
    <definedName name="IQ_MM_STRIPPING_RATIO">"c9837"</definedName>
    <definedName name="IQ_MM_UNDEVELOPED_ACREAGE">"c9835"</definedName>
    <definedName name="IQ_MM_UNDEVELOPED_SQ_KMS">"c9834"</definedName>
    <definedName name="IQ_MM_UNDEVELOPED_SQ_MILES">"c9836"</definedName>
    <definedName name="IQ_MMDA_NON_TRANS_ACCTS_FFIEC">"c15330"</definedName>
    <definedName name="IQ_MMDA_SAVINGS_TOT_DEPOSITS_FFIEC">"c13905"</definedName>
    <definedName name="IQ_MONEY_MARKET_ACCOUNTS_COMMERCIAL_BANK_SUBS_FFIEC">"c12947"</definedName>
    <definedName name="IQ_MONEY_MARKET_ACCOUNTS_OTHER_INSTITUTIONS_FFIEC">"c12952"</definedName>
    <definedName name="IQ_MONEY_MARKET_DEPOSIT_ACCOUNTS_FDIC">"c6553"</definedName>
    <definedName name="IQ_MONTH">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BACKED_SECURITIES_FDIC">"c6402"</definedName>
    <definedName name="IQ_MORTGAGE_DEBT_UNDER_CAPITAL_LEASES_FFIEC">"c15276"</definedName>
    <definedName name="IQ_MORTGAGE_SERV_RIGHTS">"c2242"</definedName>
    <definedName name="IQ_MORTGAGE_SERVICING_ASSETS_FFIEC">"c12838"</definedName>
    <definedName name="IQ_MORTGAGE_SERVICING_FDIC">"c6335"</definedName>
    <definedName name="IQ_MTD">800000</definedName>
    <definedName name="IQ_MULTI_RES_PROPERTIES_TRADING_DOM_FFIEC">"c12930"</definedName>
    <definedName name="IQ_MULTIFAM_5_LOANS_TOT_LOANS_FFIEC">"c13869"</definedName>
    <definedName name="IQ_MULTIFAMILY_LOANS_GROSS_LOANS_FFIEC">"c13404"</definedName>
    <definedName name="IQ_MULTIFAMILY_LOANS_RISK_BASED_FFIEC">"c13425"</definedName>
    <definedName name="IQ_MULTIFAMILY_RES_DOM_FFIEC">"c15270"</definedName>
    <definedName name="IQ_MULTIFAMILY_RESIDENTIAL_LOANS_FDIC">"c6311"</definedName>
    <definedName name="IQ_MUNI_ADVALOREM_TAX">"c15144"</definedName>
    <definedName name="IQ_MUNI_AMT_TAX">"c15146"</definedName>
    <definedName name="IQ_MUNI_BANK_QUALIFIED">"c15148"</definedName>
    <definedName name="IQ_MUNI_DEP_TRUST_ELIGIBLE">"c15149"</definedName>
    <definedName name="IQ_MUNI_ECONOMIC_DEFEASANCE">"c15151"</definedName>
    <definedName name="IQ_MUNI_ESCROW">"c15228"</definedName>
    <definedName name="IQ_MUNI_FED_TAX">"c15147"</definedName>
    <definedName name="IQ_MUNI_LEGAL_DEFEASANCE">"c15150"</definedName>
    <definedName name="IQ_MUNI_OFFERING_TYPE">"c15143"</definedName>
    <definedName name="IQ_MUNI_OPTIONAL_REDEMPTION_DEFEASANCE">"c15152"</definedName>
    <definedName name="IQ_MUNI_PRE_REFUNDED_DATE">"c15154"</definedName>
    <definedName name="IQ_MUNI_PRE_REFUNDED_DATED_DATE">"c15156"</definedName>
    <definedName name="IQ_MUNI_PRE_REFUNDED_PRICE">"c15155"</definedName>
    <definedName name="IQ_MUNI_PRE_REFUNDED_TYPE">"c15153"</definedName>
    <definedName name="IQ_MUNI_PURPOSE">"c15226"</definedName>
    <definedName name="IQ_MUNI_STATE_TAX">"c15145"</definedName>
    <definedName name="IQ_MUNI_TERRITORY">"c15142"</definedName>
    <definedName name="IQ_MUNI_TYPE">"c15227"</definedName>
    <definedName name="IQ_MUNICIPAL_INVEST_SECURITIES_FFIEC">"c13459"</definedName>
    <definedName name="IQ_NAMES_REVISION_DATE_">"01/30/2013 07:35:05"</definedName>
    <definedName name="IQ_NAPM_BUS_CONDITIONS">"c6921"</definedName>
    <definedName name="IQ_NAPM_BUS_CONDITIONS_APR">"c7581"</definedName>
    <definedName name="IQ_NAPM_BUS_CONDITIONS_APR_FC">"c8461"</definedName>
    <definedName name="IQ_NAPM_BUS_CONDITIONS_FC">"c7801"</definedName>
    <definedName name="IQ_NAPM_BUS_CONDITIONS_POP">"c7141"</definedName>
    <definedName name="IQ_NAPM_BUS_CONDITIONS_POP_FC">"c8021"</definedName>
    <definedName name="IQ_NAPM_BUS_CONDITIONS_YOY">"c7361"</definedName>
    <definedName name="IQ_NAPM_BUS_CONDITIONS_YOY_FC">"c8241"</definedName>
    <definedName name="IQ_NATIVE_COMPANY_NAME">"c13822"</definedName>
    <definedName name="IQ_NAV_EST">"c1751"</definedName>
    <definedName name="IQ_NAV_HIGH_EST">"c1753"</definedName>
    <definedName name="IQ_NAV_LOW_EST">"c1754"</definedName>
    <definedName name="IQ_NAV_MEDIAN_EST">"c1752"</definedName>
    <definedName name="IQ_NAV_NUM_EST">"c1755"</definedName>
    <definedName name="IQ_NAV_SHARE_ACT_OR_EST">"c2225"</definedName>
    <definedName name="IQ_NAV_SHARE_ACT_OR_EST_CIQ">"c12038"</definedName>
    <definedName name="IQ_NAV_SHARE_DET_EST_CIQ">"c12123"</definedName>
    <definedName name="IQ_NAV_SHARE_DET_EST_CURRENCY_CIQ">"c12514"</definedName>
    <definedName name="IQ_NAV_SHARE_DET_EST_DATE_CIQ">"c12269"</definedName>
    <definedName name="IQ_NAV_SHARE_DET_EST_INCL_CIQ">"c12397"</definedName>
    <definedName name="IQ_NAV_SHARE_DET_EST_ORIGIN">"c12585"</definedName>
    <definedName name="IQ_NAV_SHARE_DET_EST_ORIGIN_CIQ">"c12638"</definedName>
    <definedName name="IQ_NAV_SHARE_EST">"c5609"</definedName>
    <definedName name="IQ_NAV_SHARE_EST_CIQ">"c12032"</definedName>
    <definedName name="IQ_NAV_SHARE_HIGH_EST">"c5612"</definedName>
    <definedName name="IQ_NAV_SHARE_HIGH_EST_CIQ">"c12035"</definedName>
    <definedName name="IQ_NAV_SHARE_LOW_EST">"c5613"</definedName>
    <definedName name="IQ_NAV_SHARE_LOW_EST_CIQ">"c12036"</definedName>
    <definedName name="IQ_NAV_SHARE_MEDIAN_EST">"c5610"</definedName>
    <definedName name="IQ_NAV_SHARE_MEDIAN_EST_CIQ">"c12033"</definedName>
    <definedName name="IQ_NAV_SHARE_NUM_EST">"c5614"</definedName>
    <definedName name="IQ_NAV_SHARE_NUM_EST_CIQ">"c12037"</definedName>
    <definedName name="IQ_NAV_SHARE_STDDEV_EST">"c5611"</definedName>
    <definedName name="IQ_NAV_SHARE_STDDEV_EST_CIQ">"c12034"</definedName>
    <definedName name="IQ_NAV_STDDEV_EST">"c1756"</definedName>
    <definedName name="IQ_NCLS_CLOSED_END_1_4_FAM_LOANS_TOT_LOANS_FFIEC">"c13891"</definedName>
    <definedName name="IQ_NCLS_COMM_IND_LOANS_TOT_LOANS_FFIEC">"c13898"</definedName>
    <definedName name="IQ_NCLS_COMM_RE_FARM_LOANS_TOT_LOANS_FFIEC">"c13897"</definedName>
    <definedName name="IQ_NCLS_COMM_RE_NONFARM_NONRES_TOT_LOANS_FFIEC">"c13896"</definedName>
    <definedName name="IQ_NCLS_CONST_LAND_DEV_LOANS_TOT_LOANS_FFIEC">"c13890"</definedName>
    <definedName name="IQ_NCLS_CONSUMER_LOANS_TOT_LOANS_FFIEC">"c13899"</definedName>
    <definedName name="IQ_NCLS_FARM_LOANS_TOT_LOANS_FFIEC">"c13895"</definedName>
    <definedName name="IQ_NCLS_HOME_EQUITY_LOANS_TOT_LOANS_FFIEC">"c13892"</definedName>
    <definedName name="IQ_NCLS_MULTIFAM_5_LOANS_TOT_LOANS_FFIEC">"c13894"</definedName>
    <definedName name="IQ_NCLS_TOT_1_4_FAM_LOANS_TOT_LOANS_FFIEC">"c13893"</definedName>
    <definedName name="IQ_NCLS_TOT_LEASES_TOT_LOANS_FFIEC">"c13900"</definedName>
    <definedName name="IQ_NCLS_TOT_LOANS_TOT_LOANS_FFIEC">"c13901"</definedName>
    <definedName name="IQ_NCOS_CLOSED_END_1_4_FAM_LOANS_TOT_LOANS_FFIEC">"c13879"</definedName>
    <definedName name="IQ_NCOS_COMM_IND_LOANS_TOT_LOANS_FFIEC">"c13886"</definedName>
    <definedName name="IQ_NCOS_COMM_RE_FARM_LOANS_TOT_LOANS_FFIEC">"c13885"</definedName>
    <definedName name="IQ_NCOS_COMM_RE_NONFARM_NONRES_TOT_LOANS_FFIEC">"c13884"</definedName>
    <definedName name="IQ_NCOS_CONST_LAND_DEV_LOANS_TOT_LOANS_FFIEC">"c13878"</definedName>
    <definedName name="IQ_NCOS_CONSUMER_LOANS_TOT_LOANS_FFIEC">"c13887"</definedName>
    <definedName name="IQ_NCOS_FARM_LOANS_TOT_LOANS_FFIEC">"c13883"</definedName>
    <definedName name="IQ_NCOS_HOME_EQUITY_LOANS_TOT_LOANS_FFIEC">"c13880"</definedName>
    <definedName name="IQ_NCOS_MULTIFAM_5_LOANS_TOT_LOANS_FFIEC">"c13882"</definedName>
    <definedName name="IQ_NCOS_TOT_1_4_FAM_LOANS_TOT_LOANS_FFIEC">"c13881"</definedName>
    <definedName name="IQ_NCOS_TOT_LEASES_TOT_LOANS_FFIEC">"c13888"</definedName>
    <definedName name="IQ_NCOS_TOT_LOANS_TOT_LOANS_FFIEC">"c13889"</definedName>
    <definedName name="IQ_NEGATIVE_FAIR_VALUE_DERIVATIVES_BENEFICIARY_FFIEC">"c13124"</definedName>
    <definedName name="IQ_NEGATIVE_FAIR_VALUE_DERIVATIVES_GUARANTOR_FFIEC">"c13117"</definedName>
    <definedName name="IQ_NET_BOOKING_LOCATION_ADJUSTMENT_FOREIGN_FFIEC">"c15385"</definedName>
    <definedName name="IQ_NET_CHANGE">"c749"</definedName>
    <definedName name="IQ_NET_CHARGE_OFFS_FDIC">"c6641"</definedName>
    <definedName name="IQ_NET_CHARGE_OFFS_LOANS_FDIC">"c6751"</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ACT_OR_EST">"c3583"</definedName>
    <definedName name="IQ_NET_DEBT_ACT_OR_EST_CIQ">"c5070"</definedName>
    <definedName name="IQ_NET_DEBT_DET_EST">"c12061"</definedName>
    <definedName name="IQ_NET_DEBT_DET_EST_CIQ">"c12124"</definedName>
    <definedName name="IQ_NET_DEBT_DET_EST_CURRENCY">"c12468"</definedName>
    <definedName name="IQ_NET_DEBT_DET_EST_CURRENCY_CIQ">"c12515"</definedName>
    <definedName name="IQ_NET_DEBT_DET_EST_DATE">"c12214"</definedName>
    <definedName name="IQ_NET_DEBT_DET_EST_DATE_CIQ">"c12270"</definedName>
    <definedName name="IQ_NET_DEBT_DET_EST_INCL">"c12351"</definedName>
    <definedName name="IQ_NET_DEBT_DET_EST_INCL_CIQ">"c12398"</definedName>
    <definedName name="IQ_NET_DEBT_DET_EST_ORIGIN">"c12586"</definedName>
    <definedName name="IQ_NET_DEBT_DET_EST_ORIGIN_CIQ">"c12639"</definedName>
    <definedName name="IQ_NET_DEBT_EBITDA">"c750"</definedName>
    <definedName name="IQ_NET_DEBT_EBITDA_CAPEX">"c2949"</definedName>
    <definedName name="IQ_NET_DEBT_EST">"c3517"</definedName>
    <definedName name="IQ_NET_DEBT_EST_CIQ">"c3814"</definedName>
    <definedName name="IQ_NET_DEBT_GUIDANCE">"c4467"</definedName>
    <definedName name="IQ_NET_DEBT_HIGH_EST">"c3518"</definedName>
    <definedName name="IQ_NET_DEBT_HIGH_EST_CIQ">"c3816"</definedName>
    <definedName name="IQ_NET_DEBT_HIGH_GUIDANCE">"c4181"</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"c6238"</definedName>
    <definedName name="IQ_NET_DEBT_ISSUED_REIT">"c756"</definedName>
    <definedName name="IQ_NET_DEBT_ISSUED_UTI">"c757"</definedName>
    <definedName name="IQ_NET_DEBT_LOW_EST">"c3519"</definedName>
    <definedName name="IQ_NET_DEBT_LOW_EST_CIQ">"c3817"</definedName>
    <definedName name="IQ_NET_DEBT_LOW_GUIDANCE">"c4221"</definedName>
    <definedName name="IQ_NET_DEBT_MEDIAN_EST">"c3520"</definedName>
    <definedName name="IQ_NET_DEBT_MEDIAN_EST_CIQ">"c3815"</definedName>
    <definedName name="IQ_NET_DEBT_NUM_EST">"c3515"</definedName>
    <definedName name="IQ_NET_DEBT_NUM_EST_CIQ">"c3818"</definedName>
    <definedName name="IQ_NET_DEBT_STDDEV_EST">"c3516"</definedName>
    <definedName name="IQ_NET_DEBT_STDDEV_EST_CIQ">"c3819"</definedName>
    <definedName name="IQ_NET_EARNED">"c2734"</definedName>
    <definedName name="IQ_NET_FUNDS_PURCHASED_ASSETS_TOT_FFIEC">"c13448"</definedName>
    <definedName name="IQ_NET_GAIN_LOSS_OREO_EXP_FFIEC">"c15370"</definedName>
    <definedName name="IQ_NET_GAIN_LOSS_OREO_INC_FFIEC">"c15367"</definedName>
    <definedName name="IQ_NET_GAIN_LOSS_SALES_LOANS_EXP_FFIEC">"c15371"</definedName>
    <definedName name="IQ_NET_GAIN_LOSS_SALES_LOANS_INC_FFIEC">"c15368"</definedName>
    <definedName name="IQ_NET_GAIN_SALE_PREMISES_FIXED_ASSETS_EXP_FFIEC">"c15372"</definedName>
    <definedName name="IQ_NET_GAIN_SALE_PREMISES_FIXED_ASSETS_INC_FFIEC">"c15369"</definedName>
    <definedName name="IQ_NET_INC">"c1394"</definedName>
    <definedName name="IQ_NET_INC_BEFORE">"c1368"</definedName>
    <definedName name="IQ_NET_INC_CF">"c1397"</definedName>
    <definedName name="IQ_NET_INC_MARGIN">"c1398"</definedName>
    <definedName name="IQ_NET_INCOME_FDIC">"c6587"</definedName>
    <definedName name="IQ_NET_INCOME_LH_FFIEC">"c13110"</definedName>
    <definedName name="IQ_NET_INCOME_PC_FFIEC">"c13103"</definedName>
    <definedName name="IQ_NET_INCOME_SHE_FFIEC">"c12960"</definedName>
    <definedName name="IQ_NET_INT_INC_10YR_ANN_CAGR">"c6100"</definedName>
    <definedName name="IQ_NET_INT_INC_10YR_ANN_GROWTH">"c758"</definedName>
    <definedName name="IQ_NET_INT_INC_1YR_ANN_GROWTH">"c759"</definedName>
    <definedName name="IQ_NET_INT_INC_2YR_ANN_CAGR">"c6101"</definedName>
    <definedName name="IQ_NET_INT_INC_2YR_ANN_GROWTH">"c760"</definedName>
    <definedName name="IQ_NET_INT_INC_3YR_ANN_CAGR">"c6102"</definedName>
    <definedName name="IQ_NET_INT_INC_3YR_ANN_GROWTH">"c761"</definedName>
    <definedName name="IQ_NET_INT_INC_5YR_ANN_CAGR">"c6103"</definedName>
    <definedName name="IQ_NET_INT_INC_5YR_ANN_GROWTH">"c762"</definedName>
    <definedName name="IQ_NET_INT_INC_7YR_ANN_CAGR">"c6104"</definedName>
    <definedName name="IQ_NET_INT_INC_7YR_ANN_GROWTH">"c763"</definedName>
    <definedName name="IQ_NET_INT_INC_AFTER_LL_BNK_SUBTOTAL_AP">"c8979"</definedName>
    <definedName name="IQ_NET_INT_INC_BNK">"c764"</definedName>
    <definedName name="IQ_NET_INT_INC_BNK_AP">"c8874"</definedName>
    <definedName name="IQ_NET_INT_INC_BNK_AP_ABS">"c8893"</definedName>
    <definedName name="IQ_NET_INT_INC_BNK_FDIC">"c6570"</definedName>
    <definedName name="IQ_NET_INT_INC_BNK_NAME_AP">"c8912"</definedName>
    <definedName name="IQ_NET_INT_INC_BNK_NAME_AP_ABS">"c8931"</definedName>
    <definedName name="IQ_NET_INT_INC_BNK_SUBTOTAL_AP">"c8978"</definedName>
    <definedName name="IQ_NET_INT_INC_BR">"c765"</definedName>
    <definedName name="IQ_NET_INT_INC_FIN">"c766"</definedName>
    <definedName name="IQ_NET_INT_INC_TOTAL_REV">"c767"</definedName>
    <definedName name="IQ_NET_INT_INCOME_FFIEC">"c13001"</definedName>
    <definedName name="IQ_NET_INT_INCOME_FTE_FFIEC">"c13036"</definedName>
    <definedName name="IQ_NET_INT_MARGIN">"c768"</definedName>
    <definedName name="IQ_NET_INTEREST_EXP">"c769"</definedName>
    <definedName name="IQ_NET_INTEREST_EXP_RE">"c6239"</definedName>
    <definedName name="IQ_NET_INTEREST_EXP_REIT">"c770"</definedName>
    <definedName name="IQ_NET_INTEREST_EXP_UTI">"c771"</definedName>
    <definedName name="IQ_NET_INTEREST_INC">"c1392"</definedName>
    <definedName name="IQ_NET_INTEREST_INC_AFTER_LL">"c1604"</definedName>
    <definedName name="IQ_NET_INTEREST_INC_INTERNATIONAL_OPS_FFIEC">"c15375"</definedName>
    <definedName name="IQ_NET_INTEREST_MARGIN_FDIC">"c6726"</definedName>
    <definedName name="IQ_NET_LIFE_INS_IN_FORCE">"c2769"</definedName>
    <definedName name="IQ_NET_LOANS">"c772"</definedName>
    <definedName name="IQ_NET_LOANS_10YR_ANN_CAGR">"c6105"</definedName>
    <definedName name="IQ_NET_LOANS_10YR_ANN_GROWTH">"c773"</definedName>
    <definedName name="IQ_NET_LOANS_1YR_ANN_GROWTH">"c774"</definedName>
    <definedName name="IQ_NET_LOANS_2YR_ANN_CAGR">"c6106"</definedName>
    <definedName name="IQ_NET_LOANS_2YR_ANN_GROWTH">"c775"</definedName>
    <definedName name="IQ_NET_LOANS_3YR_ANN_CAGR">"c6107"</definedName>
    <definedName name="IQ_NET_LOANS_3YR_ANN_GROWTH">"c776"</definedName>
    <definedName name="IQ_NET_LOANS_5YR_ANN_CAGR">"c6108"</definedName>
    <definedName name="IQ_NET_LOANS_5YR_ANN_GROWTH">"c777"</definedName>
    <definedName name="IQ_NET_LOANS_7YR_ANN_CAGR">"c6109"</definedName>
    <definedName name="IQ_NET_LOANS_7YR_ANN_GROWTH">"c778"</definedName>
    <definedName name="IQ_NET_LOANS_CORE_DEPOSITS_FFIEC">"c13341"</definedName>
    <definedName name="IQ_NET_LOANS_DEPOSITS_FFIEC">"c13340"</definedName>
    <definedName name="IQ_NET_LOANS_EQUITY_FFIEC">"c13347"</definedName>
    <definedName name="IQ_NET_LOANS_LEASES_CORE_DEPOSITS_FDIC">"c6743"</definedName>
    <definedName name="IQ_NET_LOANS_LEASES_DEPOSITS_FDIC">"c6742"</definedName>
    <definedName name="IQ_NET_LOANS_TOTAL_DEPOSITS">"c779"</definedName>
    <definedName name="IQ_NET_NONINTEREST_INC_EXP_INTERNATIONAL_OPS_FFIEC">"c15387"</definedName>
    <definedName name="IQ_NET_OPERATING_INCOME_ASSETS_FDIC">"c6729"</definedName>
    <definedName name="IQ_NET_RENTAL_EXP_FN">"c780"</definedName>
    <definedName name="IQ_NET_SECURITIZATION_INC_FOREIGN_FFIEC">"c15379"</definedName>
    <definedName name="IQ_NET_SECURITIZATION_INCOME_FDIC">"c6669"</definedName>
    <definedName name="IQ_NET_SERVICING_FEES_FDIC">"c6668"</definedName>
    <definedName name="IQ_NET_TO_GROSS_EARNED">"c2750"</definedName>
    <definedName name="IQ_NET_TO_GROSS_WRITTEN">"c2729"</definedName>
    <definedName name="IQ_NET_WORKING_CAP">"c3493"</definedName>
    <definedName name="IQ_NET_WRITTEN">"c2728"</definedName>
    <definedName name="IQ_NEW_PREM">"c2785"</definedName>
    <definedName name="IQ_NEWS">"c13743"</definedName>
    <definedName name="IQ_NEWS_DATE">"c13746"</definedName>
    <definedName name="IQ_NEWS_SOURCE">"c13745"</definedName>
    <definedName name="IQ_NEWS_TIME">"c13759"</definedName>
    <definedName name="IQ_NEWS_URL">"c13744"</definedName>
    <definedName name="IQ_NEXT_CALL_DATE">"c2198"</definedName>
    <definedName name="IQ_NEXT_CALL_PRICE">"c2199"</definedName>
    <definedName name="IQ_NEXT_EARNINGS_DATE">"c13592"</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EXT_YR_PROD_EST_MAX_ALUM">"c9251"</definedName>
    <definedName name="IQ_NEXT_YR_PROD_EST_MAX_CATHODE_COP">"c9198"</definedName>
    <definedName name="IQ_NEXT_YR_PROD_EST_MAX_COP">"c9196"</definedName>
    <definedName name="IQ_NEXT_YR_PROD_EST_MAX_DIAM">"c9675"</definedName>
    <definedName name="IQ_NEXT_YR_PROD_EST_MAX_GOLD">"c9036"</definedName>
    <definedName name="IQ_NEXT_YR_PROD_EST_MAX_IRON">"c9410"</definedName>
    <definedName name="IQ_NEXT_YR_PROD_EST_MAX_LEAD">"c9463"</definedName>
    <definedName name="IQ_NEXT_YR_PROD_EST_MAX_MANG">"c9516"</definedName>
    <definedName name="IQ_NEXT_YR_PROD_EST_MAX_MOLYB">"c9728"</definedName>
    <definedName name="IQ_NEXT_YR_PROD_EST_MAX_NICK">"c9304"</definedName>
    <definedName name="IQ_NEXT_YR_PROD_EST_MAX_PLAT">"c9142"</definedName>
    <definedName name="IQ_NEXT_YR_PROD_EST_MAX_SILVER">"c9089"</definedName>
    <definedName name="IQ_NEXT_YR_PROD_EST_MAX_TITAN">"c9569"</definedName>
    <definedName name="IQ_NEXT_YR_PROD_EST_MAX_URAN">"c9622"</definedName>
    <definedName name="IQ_NEXT_YR_PROD_EST_MAX_ZINC">"c9357"</definedName>
    <definedName name="IQ_NEXT_YR_PROD_EST_MIN_ALUM">"c9250"</definedName>
    <definedName name="IQ_NEXT_YR_PROD_EST_MIN_CATHODE_COP">"c9197"</definedName>
    <definedName name="IQ_NEXT_YR_PROD_EST_MIN_COP">"c9195"</definedName>
    <definedName name="IQ_NEXT_YR_PROD_EST_MIN_DIAM">"c9674"</definedName>
    <definedName name="IQ_NEXT_YR_PROD_EST_MIN_GOLD">"c9035"</definedName>
    <definedName name="IQ_NEXT_YR_PROD_EST_MIN_IRON">"c9409"</definedName>
    <definedName name="IQ_NEXT_YR_PROD_EST_MIN_LEAD">"c9462"</definedName>
    <definedName name="IQ_NEXT_YR_PROD_EST_MIN_MANG">"c9515"</definedName>
    <definedName name="IQ_NEXT_YR_PROD_EST_MIN_MOLYB">"c9727"</definedName>
    <definedName name="IQ_NEXT_YR_PROD_EST_MIN_NICK">"c9303"</definedName>
    <definedName name="IQ_NEXT_YR_PROD_EST_MIN_PLAT">"c9141"</definedName>
    <definedName name="IQ_NEXT_YR_PROD_EST_MIN_SILVER">"c9088"</definedName>
    <definedName name="IQ_NEXT_YR_PROD_EST_MIN_TITAN">"c9568"</definedName>
    <definedName name="IQ_NEXT_YR_PROD_EST_MIN_URAN">"c9621"</definedName>
    <definedName name="IQ_NEXT_YR_PROD_EST_MIN_ZINC">"c9356"</definedName>
    <definedName name="IQ_NI">"c781"</definedName>
    <definedName name="IQ_NI_10YR_ANN_CAGR">"c6110"</definedName>
    <definedName name="IQ_NI_10YR_ANN_GROWTH">"c782"</definedName>
    <definedName name="IQ_NI_1YR_ANN_GROWTH">"c783"</definedName>
    <definedName name="IQ_NI_2YR_ANN_CAGR">"c6111"</definedName>
    <definedName name="IQ_NI_2YR_ANN_GROWTH">"c784"</definedName>
    <definedName name="IQ_NI_3YR_ANN_CAGR">"c6112"</definedName>
    <definedName name="IQ_NI_3YR_ANN_GROWTH">"c785"</definedName>
    <definedName name="IQ_NI_5YR_ANN_CAGR">"c6113"</definedName>
    <definedName name="IQ_NI_5YR_ANN_GROWTH">"c786"</definedName>
    <definedName name="IQ_NI_7YR_ANN_CAGR">"c6114"</definedName>
    <definedName name="IQ_NI_7YR_ANN_GROWTH">"c787"</definedName>
    <definedName name="IQ_NI_ACT_OR_EST">"c2222"</definedName>
    <definedName name="IQ_NI_ACT_OR_EST_CIQ">"c5065"</definedName>
    <definedName name="IQ_NI_AFTER_CAPITALIZED">"c788"</definedName>
    <definedName name="IQ_NI_AVAIL_EXCL">"c789"</definedName>
    <definedName name="IQ_NI_AVAIL_EXCL_MARGIN">"c790"</definedName>
    <definedName name="IQ_NI_AVAIL_INCL">"c791"</definedName>
    <definedName name="IQ_NI_AVAIL_SUBTOTAL_AP">"c8984"</definedName>
    <definedName name="IQ_NI_AVG_ASSETS_FFIEC">"c13370"</definedName>
    <definedName name="IQ_NI_BANK_AND_NONCONTROLLING_INTEREST_FFIEC">"c15365"</definedName>
    <definedName name="IQ_NI_BEFORE_CAPITALIZED">"c792"</definedName>
    <definedName name="IQ_NI_BEFORE_INTERNAL_ALLOCATIONS_FOREIGN_FFIEC">"c15393"</definedName>
    <definedName name="IQ_NI_CF">"c793"</definedName>
    <definedName name="IQ_NI_CHARGES_AP">"c8879"</definedName>
    <definedName name="IQ_NI_CHARGES_AP_ABS">"c8898"</definedName>
    <definedName name="IQ_NI_CHARGES_NAME_AP">"c8917"</definedName>
    <definedName name="IQ_NI_CHARGES_NAME_AP_ABS">"c8936"</definedName>
    <definedName name="IQ_NI_DET_EST">"c12062"</definedName>
    <definedName name="IQ_NI_DET_EST_CIQ">"c12125"</definedName>
    <definedName name="IQ_NI_DET_EST_CURRENCY">"c12469"</definedName>
    <definedName name="IQ_NI_DET_EST_CURRENCY_CIQ">"c12516"</definedName>
    <definedName name="IQ_NI_DET_EST_DATE">"c12215"</definedName>
    <definedName name="IQ_NI_DET_EST_DATE_CIQ">"c12271"</definedName>
    <definedName name="IQ_NI_DET_EST_INCL">"c12352"</definedName>
    <definedName name="IQ_NI_DET_EST_INCL_CIQ">"c12399"</definedName>
    <definedName name="IQ_NI_DET_EST_ORIGIN">"c12587"</definedName>
    <definedName name="IQ_NI_DET_EST_ORIGIN_CIQ">"c12640"</definedName>
    <definedName name="IQ_NI_EST">"c1716"</definedName>
    <definedName name="IQ_NI_EST_CIQ">"c4702"</definedName>
    <definedName name="IQ_NI_FFIEC">"c13034"</definedName>
    <definedName name="IQ_NI_GAAP_GUIDANCE">"c4470"</definedName>
    <definedName name="IQ_NI_GAAP_HIGH_GUIDANCE">"c4177"</definedName>
    <definedName name="IQ_NI_GAAP_LOW_GUIDANCE">"c4217"</definedName>
    <definedName name="IQ_NI_GUIDANCE">"c4469"</definedName>
    <definedName name="IQ_NI_GW_DET_EST">"c12063"</definedName>
    <definedName name="IQ_NI_GW_DET_EST_CIQ">"c12126"</definedName>
    <definedName name="IQ_NI_GW_DET_EST_CURRENCY">"c12470"</definedName>
    <definedName name="IQ_NI_GW_DET_EST_CURRENCY_CIQ">"c12517"</definedName>
    <definedName name="IQ_NI_GW_DET_EST_DATE">"c12216"</definedName>
    <definedName name="IQ_NI_GW_DET_EST_DATE_CIQ">"c12272"</definedName>
    <definedName name="IQ_NI_GW_DET_EST_INCL">"c12353"</definedName>
    <definedName name="IQ_NI_GW_DET_EST_INCL_CIQ">"c12400"</definedName>
    <definedName name="IQ_NI_GW_DET_EST_ORIGIN_CIQ">"c12641"</definedName>
    <definedName name="IQ_NI_GW_EST_CIQ">"c4709"</definedName>
    <definedName name="IQ_NI_GW_GUIDANCE">"c4471"</definedName>
    <definedName name="IQ_NI_GW_HIGH_EST_CIQ">"c4711"</definedName>
    <definedName name="IQ_NI_GW_HIGH_GUIDANCE">"c4178"</definedName>
    <definedName name="IQ_NI_GW_LOW_EST_CIQ">"c4712"</definedName>
    <definedName name="IQ_NI_GW_LOW_GUIDANCE">"c4218"</definedName>
    <definedName name="IQ_NI_GW_MEDIAN_EST_CIQ">"c4710"</definedName>
    <definedName name="IQ_NI_GW_NUM_EST_CIQ">"c4713"</definedName>
    <definedName name="IQ_NI_GW_STDDEV_EST_CIQ">"c4714"</definedName>
    <definedName name="IQ_NI_HIGH_EST">"c1718"</definedName>
    <definedName name="IQ_NI_HIGH_EST_CIQ">"c4704"</definedName>
    <definedName name="IQ_NI_HIGH_GUIDANCE">"c4176"</definedName>
    <definedName name="IQ_NI_LOW_EST">"c1719"</definedName>
    <definedName name="IQ_NI_LOW_EST_CIQ">"c4705"</definedName>
    <definedName name="IQ_NI_LOW_GUIDANCE">"c4216"</definedName>
    <definedName name="IQ_NI_MARGIN">"c794"</definedName>
    <definedName name="IQ_NI_MEDIAN_EST">"c1717"</definedName>
    <definedName name="IQ_NI_MEDIAN_EST_CIQ">"c4703"</definedName>
    <definedName name="IQ_NI_NON_CONTROLLING_INTERESTS_FFIEC">"c15366"</definedName>
    <definedName name="IQ_NI_NORM">"c1901"</definedName>
    <definedName name="IQ_NI_NORM_10YR_ANN_CAGR">"c6189"</definedName>
    <definedName name="IQ_NI_NORM_10YR_ANN_GROWTH">"c1960"</definedName>
    <definedName name="IQ_NI_NORM_1YR_ANN_GROWTH">"c1955"</definedName>
    <definedName name="IQ_NI_NORM_2YR_ANN_CAGR">"c6185"</definedName>
    <definedName name="IQ_NI_NORM_2YR_ANN_GROWTH">"c1956"</definedName>
    <definedName name="IQ_NI_NORM_3YR_ANN_CAGR">"c6186"</definedName>
    <definedName name="IQ_NI_NORM_3YR_ANN_GROWTH">"c1957"</definedName>
    <definedName name="IQ_NI_NORM_5YR_ANN_CAGR">"c6187"</definedName>
    <definedName name="IQ_NI_NORM_5YR_ANN_GROWTH">"c1958"</definedName>
    <definedName name="IQ_NI_NORM_7YR_ANN_CAGR">"c6188"</definedName>
    <definedName name="IQ_NI_NORM_7YR_ANN_GROWTH">"c1959"</definedName>
    <definedName name="IQ_NI_NORM_MARGIN">"c1964"</definedName>
    <definedName name="IQ_NI_NUM_EST">"c1720"</definedName>
    <definedName name="IQ_NI_NUM_EST_CIQ">"c4706"</definedName>
    <definedName name="IQ_NI_REPORTED_DET_EST_CIQ">"c12127"</definedName>
    <definedName name="IQ_NI_REPORTED_DET_EST_CURRENCY_CIQ">"c12518"</definedName>
    <definedName name="IQ_NI_REPORTED_DET_EST_DATE_CIQ">"c12273"</definedName>
    <definedName name="IQ_NI_REPORTED_DET_EST_INCL_CIQ">"c12401"</definedName>
    <definedName name="IQ_NI_REPORTED_DET_EST_ORIGIN">"c12588"</definedName>
    <definedName name="IQ_NI_REPORTED_DET_EST_ORIGIN_CIQ">"c12642"</definedName>
    <definedName name="IQ_NI_REPORTED_EST">"c1730"</definedName>
    <definedName name="IQ_NI_REPORTED_EST_CIQ">"c4716"</definedName>
    <definedName name="IQ_NI_REPORTED_HIGH_EST">"c1732"</definedName>
    <definedName name="IQ_NI_REPORTED_HIGH_EST_CIQ">"c4718"</definedName>
    <definedName name="IQ_NI_REPORTED_LOW_EST">"c1733"</definedName>
    <definedName name="IQ_NI_REPORTED_LOW_EST_CIQ">"c4719"</definedName>
    <definedName name="IQ_NI_REPORTED_MEDIAN_EST">"c1731"</definedName>
    <definedName name="IQ_NI_REPORTED_MEDIAN_EST_CIQ">"c4717"</definedName>
    <definedName name="IQ_NI_REPORTED_NUM_EST">"c1734"</definedName>
    <definedName name="IQ_NI_REPORTED_NUM_EST_CIQ">"c4720"</definedName>
    <definedName name="IQ_NI_REPORTED_STDDEV_EST">"c1735"</definedName>
    <definedName name="IQ_NI_REPORTED_STDDEV_EST_CIQ">"c4721"</definedName>
    <definedName name="IQ_NI_SBC_ACT_OR_EST">"c4474"</definedName>
    <definedName name="IQ_NI_SBC_ACT_OR_EST_CIQ">"c5012"</definedName>
    <definedName name="IQ_NI_SBC_EST">"c4473"</definedName>
    <definedName name="IQ_NI_SBC_EST_CIQ">"c5011"</definedName>
    <definedName name="IQ_NI_SBC_GW_ACT_OR_EST">"c4478"</definedName>
    <definedName name="IQ_NI_SBC_GW_ACT_OR_EST_CIQ">"c5016"</definedName>
    <definedName name="IQ_NI_SBC_GW_EST">"c4477"</definedName>
    <definedName name="IQ_NI_SBC_GW_EST_CIQ">"c5015"</definedName>
    <definedName name="IQ_NI_SBC_GW_HIGH_EST">"c4480"</definedName>
    <definedName name="IQ_NI_SBC_GW_HIGH_EST_CIQ">"c5018"</definedName>
    <definedName name="IQ_NI_SBC_GW_LOW_EST">"c4481"</definedName>
    <definedName name="IQ_NI_SBC_GW_LOW_EST_CIQ">"c5019"</definedName>
    <definedName name="IQ_NI_SBC_GW_MEDIAN_EST">"c4482"</definedName>
    <definedName name="IQ_NI_SBC_GW_MEDIAN_EST_CIQ">"c5020"</definedName>
    <definedName name="IQ_NI_SBC_GW_NUM_EST">"c4483"</definedName>
    <definedName name="IQ_NI_SBC_GW_NUM_EST_CIQ">"c5021"</definedName>
    <definedName name="IQ_NI_SBC_GW_STDDEV_EST">"c4484"</definedName>
    <definedName name="IQ_NI_SBC_GW_STDDEV_EST_CIQ">"c5022"</definedName>
    <definedName name="IQ_NI_SBC_HIGH_EST">"c4486"</definedName>
    <definedName name="IQ_NI_SBC_HIGH_EST_CIQ">"c5024"</definedName>
    <definedName name="IQ_NI_SBC_LOW_EST">"c4487"</definedName>
    <definedName name="IQ_NI_SBC_LOW_EST_CIQ">"c5025"</definedName>
    <definedName name="IQ_NI_SBC_MEDIAN_EST">"c4488"</definedName>
    <definedName name="IQ_NI_SBC_MEDIAN_EST_CIQ">"c5026"</definedName>
    <definedName name="IQ_NI_SBC_NUM_EST">"c4489"</definedName>
    <definedName name="IQ_NI_SBC_NUM_EST_CIQ">"c5027"</definedName>
    <definedName name="IQ_NI_SBC_STDDEV_EST">"c4490"</definedName>
    <definedName name="IQ_NI_SBC_STDDEV_EST_CIQ">"c5028"</definedName>
    <definedName name="IQ_NI_SFAS">"c795"</definedName>
    <definedName name="IQ_NI_STDDEV_EST">"c1721"</definedName>
    <definedName name="IQ_NI_STDDEV_EST_CIQ">"c4707"</definedName>
    <definedName name="IQ_NI_SUBTOTAL_AP">"c8983"</definedName>
    <definedName name="IQ_NLA_PCT_LEASED_CONSOL">"c8815"</definedName>
    <definedName name="IQ_NLA_PCT_LEASED_MANAGED">"c8817"</definedName>
    <definedName name="IQ_NLA_PCT_LEASED_OTHER">"c8818"</definedName>
    <definedName name="IQ_NLA_PCT_LEASED_TOTAL">"c8819"</definedName>
    <definedName name="IQ_NLA_PCT_LEASED_UNCONSOL">"c8816"</definedName>
    <definedName name="IQ_NLA_SQ_FT_CONSOL">"c8800"</definedName>
    <definedName name="IQ_NLA_SQ_FT_MANAGED">"c8802"</definedName>
    <definedName name="IQ_NLA_SQ_FT_OTHER">"c8803"</definedName>
    <definedName name="IQ_NLA_SQ_FT_TOTAL">"c8804"</definedName>
    <definedName name="IQ_NLA_SQ_FT_UNCONSOL">"c8801"</definedName>
    <definedName name="IQ_NLA_SQ_METER_CONSOL">"c8805"</definedName>
    <definedName name="IQ_NLA_SQ_METER_MANAGED">"c8807"</definedName>
    <definedName name="IQ_NLA_SQ_METER_OTHER">"c8808"</definedName>
    <definedName name="IQ_NLA_SQ_METER_TOTAL">"c8809"</definedName>
    <definedName name="IQ_NLA_SQ_METER_UNCONSOL">"c8806"</definedName>
    <definedName name="IQ_NOL_CF_1YR">"c3465"</definedName>
    <definedName name="IQ_NOL_CF_2YR">"c3466"</definedName>
    <definedName name="IQ_NOL_CF_3YR">"c3467"</definedName>
    <definedName name="IQ_NOL_CF_4YR">"c3468"</definedName>
    <definedName name="IQ_NOL_CF_5YR">"c3469"</definedName>
    <definedName name="IQ_NOL_CF_AFTER_FIVE">"c3470"</definedName>
    <definedName name="IQ_NOL_CF_MAX_YEAR">"c3473"</definedName>
    <definedName name="IQ_NOL_CF_NO_EXP">"c3471"</definedName>
    <definedName name="IQ_NOL_CF_TOTAL">"c3472"</definedName>
    <definedName name="IQ_NON_ACCRU_ALLOW_RECEIVABLES_FFIEC">"c13353"</definedName>
    <definedName name="IQ_NON_ACCRUAL_ASSET_SOLD_DURING_QTR_FFIEC">"c15350"</definedName>
    <definedName name="IQ_NON_ACCRUAL_LOANS">"c796"</definedName>
    <definedName name="IQ_NON_CASH">"c1399"</definedName>
    <definedName name="IQ_NON_CASH_ITEMS">"c797"</definedName>
    <definedName name="IQ_NON_CURRENT_LOANS_FFIEC">"c13860"</definedName>
    <definedName name="IQ_NON_FARM_NONRES_PROPERTIES_TRADING_DOM_FFIEC">"c12931"</definedName>
    <definedName name="IQ_NON_INS_EXP">"c798"</definedName>
    <definedName name="IQ_NON_INS_REV">"c799"</definedName>
    <definedName name="IQ_NON_INT_BAL_OTHER_INSTITUTIONS_FFIEC">"c12950"</definedName>
    <definedName name="IQ_NON_INT_BEAR_CD">"c800"</definedName>
    <definedName name="IQ_NON_INT_BEARING_DEPOSITS">"c800"</definedName>
    <definedName name="IQ_NON_INT_DEPOSITS_DOM_FFIEC">"c12851"</definedName>
    <definedName name="IQ_NON_INT_DEPOSITS_FOREIGN_FFIEC">"c12854"</definedName>
    <definedName name="IQ_NON_INT_EXP">"c801"</definedName>
    <definedName name="IQ_NON_INT_EXP_BNK_AP">"c8877"</definedName>
    <definedName name="IQ_NON_INT_EXP_BNK_AP_ABS">"c8896"</definedName>
    <definedName name="IQ_NON_INT_EXP_BNK_NAME_AP">"c8915"</definedName>
    <definedName name="IQ_NON_INT_EXP_BNK_NAME_AP_ABS">"c8934"</definedName>
    <definedName name="IQ_NON_INT_EXP_BNK_SUBTOTAL_AP">"c8981"</definedName>
    <definedName name="IQ_NON_INT_EXP_FDIC">"c6579"</definedName>
    <definedName name="IQ_NON_INT_EXPENSE_FFIEC">"c13028"</definedName>
    <definedName name="IQ_NON_INT_INC">"c802"</definedName>
    <definedName name="IQ_NON_INT_INC_10YR_ANN_CAGR">"c6115"</definedName>
    <definedName name="IQ_NON_INT_INC_10YR_ANN_GROWTH">"c803"</definedName>
    <definedName name="IQ_NON_INT_INC_1YR_ANN_GROWTH">"c804"</definedName>
    <definedName name="IQ_NON_INT_INC_2YR_ANN_CAGR">"c6116"</definedName>
    <definedName name="IQ_NON_INT_INC_2YR_ANN_GROWTH">"c805"</definedName>
    <definedName name="IQ_NON_INT_INC_3YR_ANN_CAGR">"c6117"</definedName>
    <definedName name="IQ_NON_INT_INC_3YR_ANN_GROWTH">"c806"</definedName>
    <definedName name="IQ_NON_INT_INC_5YR_ANN_CAGR">"c6118"</definedName>
    <definedName name="IQ_NON_INT_INC_5YR_ANN_GROWTH">"c807"</definedName>
    <definedName name="IQ_NON_INT_INC_7YR_ANN_CAGR">"c6119"</definedName>
    <definedName name="IQ_NON_INT_INC_7YR_ANN_GROWTH">"c808"</definedName>
    <definedName name="IQ_NON_INT_INC_AVG_ASSETS_FFIEC">"c13359"</definedName>
    <definedName name="IQ_NON_INT_INC_BNK_AP">"c8876"</definedName>
    <definedName name="IQ_NON_INT_INC_BNK_AP_ABS">"c8895"</definedName>
    <definedName name="IQ_NON_INT_INC_BNK_NAME_AP">"c8914"</definedName>
    <definedName name="IQ_NON_INT_INC_BNK_NAME_AP_ABS">"c8933"</definedName>
    <definedName name="IQ_NON_INT_INC_BNK_SUBTOTAL_AP">"c8980"</definedName>
    <definedName name="IQ_NON_INT_INC_FDIC">"c6575"</definedName>
    <definedName name="IQ_NON_INT_INC_OPERATING_INC_FFIEC">"c13382"</definedName>
    <definedName name="IQ_NON_INT_INCOME_FFIEC">"c13017"</definedName>
    <definedName name="IQ_NON_INTEREST_EXP">"c1400"</definedName>
    <definedName name="IQ_NON_INTEREST_INC">"c1401"</definedName>
    <definedName name="IQ_NON_OPER_EXP">"c809"</definedName>
    <definedName name="IQ_NON_OPER_INC">"c810"</definedName>
    <definedName name="IQ_NON_PERF_ASSETS_10YR_ANN_CAGR">"c6120"</definedName>
    <definedName name="IQ_NON_PERF_ASSETS_10YR_ANN_GROWTH">"c811"</definedName>
    <definedName name="IQ_NON_PERF_ASSETS_1YR_ANN_GROWTH">"c812"</definedName>
    <definedName name="IQ_NON_PERF_ASSETS_2YR_ANN_CAGR">"c6121"</definedName>
    <definedName name="IQ_NON_PERF_ASSETS_2YR_ANN_GROWTH">"c813"</definedName>
    <definedName name="IQ_NON_PERF_ASSETS_3YR_ANN_CAGR">"c6122"</definedName>
    <definedName name="IQ_NON_PERF_ASSETS_3YR_ANN_GROWTH">"c814"</definedName>
    <definedName name="IQ_NON_PERF_ASSETS_5YR_ANN_CAGR">"c6123"</definedName>
    <definedName name="IQ_NON_PERF_ASSETS_5YR_ANN_GROWTH">"c815"</definedName>
    <definedName name="IQ_NON_PERF_ASSETS_7YR_ANN_CAGR">"c6124"</definedName>
    <definedName name="IQ_NON_PERF_ASSETS_7YR_ANN_GROWTH">"c816"</definedName>
    <definedName name="IQ_NON_PERF_ASSETS_TOTAL_ASSETS">"c817"</definedName>
    <definedName name="IQ_NON_PERF_LOANS_10YR_ANN_CAGR">"c6125"</definedName>
    <definedName name="IQ_NON_PERF_LOANS_10YR_ANN_GROWTH">"c818"</definedName>
    <definedName name="IQ_NON_PERF_LOANS_1YR_ANN_GROWTH">"c819"</definedName>
    <definedName name="IQ_NON_PERF_LOANS_2YR_ANN_CAGR">"c6126"</definedName>
    <definedName name="IQ_NON_PERF_LOANS_2YR_ANN_GROWTH">"c820"</definedName>
    <definedName name="IQ_NON_PERF_LOANS_3YR_ANN_CAGR">"c6127"</definedName>
    <definedName name="IQ_NON_PERF_LOANS_3YR_ANN_GROWTH">"c821"</definedName>
    <definedName name="IQ_NON_PERF_LOANS_5YR_ANN_CAGR">"c6128"</definedName>
    <definedName name="IQ_NON_PERF_LOANS_5YR_ANN_GROWTH">"c822"</definedName>
    <definedName name="IQ_NON_PERF_LOANS_7YR_ANN_CAGR">"c6129"</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ASSETS_FFIEC">"c13859"</definedName>
    <definedName name="IQ_NON_PERFORMING_LOANS">"c827"</definedName>
    <definedName name="IQ_NON_PERFORMING_LOANS_FFIEC">"c13861"</definedName>
    <definedName name="IQ_NON_US_ADDRESS_LEASE_FIN_REC_FFIEC">"c13625"</definedName>
    <definedName name="IQ_NON_US_ADDRESSEES_TOTAL_LOANS_FOREIGN_FDIC">"c6443"</definedName>
    <definedName name="IQ_NON_US_CHARGE_OFFS_AND_RECOVERIES_FDIC">"c6650"</definedName>
    <definedName name="IQ_NON_US_CHARGE_OFFS_FDIC">"c6648"</definedName>
    <definedName name="IQ_NON_US_COMMERCIAL_INDUSTRIAL_CHARGE_OFFS_FDIC">"c6651"</definedName>
    <definedName name="IQ_NON_US_NET_LOANS_FDIC">"c6376"</definedName>
    <definedName name="IQ_NON_US_RECOVERIES_FDIC">"c6649"</definedName>
    <definedName name="IQ_NONCASH_INCOME_AMORT_CLOSED_END_LOANS_FFIEC">"c13078"</definedName>
    <definedName name="IQ_NONCASH_PENSION_EXP">"c3000"</definedName>
    <definedName name="IQ_NONCORE_ASSETS_TOT_FFIEC">"c13443"</definedName>
    <definedName name="IQ_NONCURRENT_LOANS_1_4_FAMILY_FDIC">"c6770"</definedName>
    <definedName name="IQ_NONCURRENT_LOANS_COMMERCIAL_INDUSTRIAL_FDIC">"c6773"</definedName>
    <definedName name="IQ_NONCURRENT_LOANS_COMMERCIAL_RE_FDIC">"c6768"</definedName>
    <definedName name="IQ_NONCURRENT_LOANS_COMMERCIAL_RE_NOT_SECURED_FDIC">"c6778"</definedName>
    <definedName name="IQ_NONCURRENT_LOANS_CONSTRUCTION_LAND_DEV_FDIC">"c6767"</definedName>
    <definedName name="IQ_NONCURRENT_LOANS_CREDIT_CARD_FDIC">"c6775"</definedName>
    <definedName name="IQ_NONCURRENT_LOANS_GUARANTEED_FDIC">"c6358"</definedName>
    <definedName name="IQ_NONCURRENT_LOANS_HOME_EQUITY_FDIC">"c6771"</definedName>
    <definedName name="IQ_NONCURRENT_LOANS_INDIVIDUALS_FDIC">"c6774"</definedName>
    <definedName name="IQ_NONCURRENT_LOANS_LEASES_FDIC">"c6357"</definedName>
    <definedName name="IQ_NONCURRENT_LOANS_MULTIFAMILY_FDIC">"c6769"</definedName>
    <definedName name="IQ_NONCURRENT_LOANS_OTHER_FAMILY_FDIC">"c6772"</definedName>
    <definedName name="IQ_NONCURRENT_LOANS_OTHER_INDIVIDUAL_FDIC">"c6776"</definedName>
    <definedName name="IQ_NONCURRENT_LOANS_OTHER_LOANS_FDIC">"c6777"</definedName>
    <definedName name="IQ_NONCURRENT_LOANS_RE_FDIC">"c6766"</definedName>
    <definedName name="IQ_NONCURRENT_LOANS_TOTAL_LOANS_FDIC">"c6765"</definedName>
    <definedName name="IQ_NONCURRENT_OREO_ASSETS_FDIC">"c6741"</definedName>
    <definedName name="IQ_NONDEF_CAPITAL_GOODS_ORDERS">"c6932"</definedName>
    <definedName name="IQ_NONDEF_CAPITAL_GOODS_ORDERS_APR">"c7592"</definedName>
    <definedName name="IQ_NONDEF_CAPITAL_GOODS_ORDERS_APR_FC">"c8472"</definedName>
    <definedName name="IQ_NONDEF_CAPITAL_GOODS_ORDERS_FC">"c7812"</definedName>
    <definedName name="IQ_NONDEF_CAPITAL_GOODS_ORDERS_POP">"c7152"</definedName>
    <definedName name="IQ_NONDEF_CAPITAL_GOODS_ORDERS_POP_FC">"c8032"</definedName>
    <definedName name="IQ_NONDEF_CAPITAL_GOODS_ORDERS_YOY">"c7372"</definedName>
    <definedName name="IQ_NONDEF_CAPITAL_GOODS_ORDERS_YOY_FC">"c8252"</definedName>
    <definedName name="IQ_NONDEF_CAPITAL_GOODS_SHIPMENTS">"c6933"</definedName>
    <definedName name="IQ_NONDEF_CAPITAL_GOODS_SHIPMENTS_APR">"c7593"</definedName>
    <definedName name="IQ_NONDEF_CAPITAL_GOODS_SHIPMENTS_APR_FC">"c8473"</definedName>
    <definedName name="IQ_NONDEF_CAPITAL_GOODS_SHIPMENTS_FC">"c7813"</definedName>
    <definedName name="IQ_NONDEF_CAPITAL_GOODS_SHIPMENTS_POP">"c7153"</definedName>
    <definedName name="IQ_NONDEF_CAPITAL_GOODS_SHIPMENTS_POP_FC">"c8033"</definedName>
    <definedName name="IQ_NONDEF_CAPITAL_GOODS_SHIPMENTS_YOY">"c7373"</definedName>
    <definedName name="IQ_NONDEF_CAPITAL_GOODS_SHIPMENTS_YOY_FC">"c8253"</definedName>
    <definedName name="IQ_NONDEF_SPENDING_SAAR">"c6934"</definedName>
    <definedName name="IQ_NONDEF_SPENDING_SAAR_APR">"c7594"</definedName>
    <definedName name="IQ_NONDEF_SPENDING_SAAR_APR_FC">"c8474"</definedName>
    <definedName name="IQ_NONDEF_SPENDING_SAAR_FC">"c7814"</definedName>
    <definedName name="IQ_NONDEF_SPENDING_SAAR_POP">"c7154"</definedName>
    <definedName name="IQ_NONDEF_SPENDING_SAAR_POP_FC">"c8034"</definedName>
    <definedName name="IQ_NONDEF_SPENDING_SAAR_YOY">"c7374"</definedName>
    <definedName name="IQ_NONDEF_SPENDING_SAAR_YOY_FC">"c8254"</definedName>
    <definedName name="IQ_NONFARM_EMP_HRS_PCT_CHANGE">"c6935"</definedName>
    <definedName name="IQ_NONFARM_EMP_HRS_PCT_CHANGE_FC">"c7815"</definedName>
    <definedName name="IQ_NONFARM_EMP_HRS_PCT_CHANGE_POP">"c7155"</definedName>
    <definedName name="IQ_NONFARM_EMP_HRS_PCT_CHANGE_POP_FC">"c8035"</definedName>
    <definedName name="IQ_NONFARM_EMP_HRS_PCT_CHANGE_YOY">"c7375"</definedName>
    <definedName name="IQ_NONFARM_EMP_HRS_PCT_CHANGE_YOY_FC">"c8255"</definedName>
    <definedName name="IQ_NONFARM_NONRES_DOM_FFIEC">"c15271"</definedName>
    <definedName name="IQ_NONFARM_NONRES_GROSS_LOANS_FFIEC">"c13405"</definedName>
    <definedName name="IQ_NONFARM_NONRES_LL_REC_DOM_FFIEC">"c13626"</definedName>
    <definedName name="IQ_NONFARM_NONRES_RISK_BASED_FFIEC">"c13426"</definedName>
    <definedName name="IQ_NONFARM_OUTPUT_PER_HR">"c6936"</definedName>
    <definedName name="IQ_NONFARM_OUTPUT_PER_HR_APR">"c7596"</definedName>
    <definedName name="IQ_NONFARM_OUTPUT_PER_HR_APR_FC">"c8476"</definedName>
    <definedName name="IQ_NONFARM_OUTPUT_PER_HR_FC">"c7816"</definedName>
    <definedName name="IQ_NONFARM_OUTPUT_PER_HR_POP">"c7156"</definedName>
    <definedName name="IQ_NONFARM_OUTPUT_PER_HR_POP_FC">"c8036"</definedName>
    <definedName name="IQ_NONFARM_OUTPUT_PER_HR_YOY">"c7376"</definedName>
    <definedName name="IQ_NONFARM_OUTPUT_PER_HR_YOY_FC">"c8256"</definedName>
    <definedName name="IQ_NONFARM_PAYROLLS">"c6926"</definedName>
    <definedName name="IQ_NONFARM_PAYROLLS_APR">"c7586"</definedName>
    <definedName name="IQ_NONFARM_PAYROLLS_APR_FC">"c8466"</definedName>
    <definedName name="IQ_NONFARM_PAYROLLS_FC">"c7806"</definedName>
    <definedName name="IQ_NONFARM_PAYROLLS_POP">"c7146"</definedName>
    <definedName name="IQ_NONFARM_PAYROLLS_POP_FC">"c8026"</definedName>
    <definedName name="IQ_NONFARM_PAYROLLS_YOY">"c7366"</definedName>
    <definedName name="IQ_NONFARM_PAYROLLS_YOY_FC">"c8246"</definedName>
    <definedName name="IQ_NONFARM_TOTAL_HR_INDEX">"c6937"</definedName>
    <definedName name="IQ_NONFARM_TOTAL_HR_INDEX_APR">"c7597"</definedName>
    <definedName name="IQ_NONFARM_TOTAL_HR_INDEX_APR_FC">"c8477"</definedName>
    <definedName name="IQ_NONFARM_TOTAL_HR_INDEX_FC">"c7817"</definedName>
    <definedName name="IQ_NONFARM_TOTAL_HR_INDEX_POP">"c7157"</definedName>
    <definedName name="IQ_NONFARM_TOTAL_HR_INDEX_POP_FC">"c8037"</definedName>
    <definedName name="IQ_NONFARM_TOTAL_HR_INDEX_YOY">"c7377"</definedName>
    <definedName name="IQ_NONFARM_TOTAL_HR_INDEX_YOY_FC">"c8257"</definedName>
    <definedName name="IQ_NONFARM_WAGES">"c6938"</definedName>
    <definedName name="IQ_NONFARM_WAGES_APR">"c7598"</definedName>
    <definedName name="IQ_NONFARM_WAGES_APR_FC">"c8478"</definedName>
    <definedName name="IQ_NONFARM_WAGES_FC">"c7818"</definedName>
    <definedName name="IQ_NONFARM_WAGES_INDEX">"c6939"</definedName>
    <definedName name="IQ_NONFARM_WAGES_INDEX_APR">"c7599"</definedName>
    <definedName name="IQ_NONFARM_WAGES_INDEX_APR_FC">"c8479"</definedName>
    <definedName name="IQ_NONFARM_WAGES_INDEX_FC">"c7819"</definedName>
    <definedName name="IQ_NONFARM_WAGES_INDEX_POP">"c7159"</definedName>
    <definedName name="IQ_NONFARM_WAGES_INDEX_POP_FC">"c8039"</definedName>
    <definedName name="IQ_NONFARM_WAGES_INDEX_YOY">"c7379"</definedName>
    <definedName name="IQ_NONFARM_WAGES_INDEX_YOY_FC">"c8259"</definedName>
    <definedName name="IQ_NONFARM_WAGES_POP">"c7158"</definedName>
    <definedName name="IQ_NONFARM_WAGES_POP_FC">"c8038"</definedName>
    <definedName name="IQ_NONFARM_WAGES_YOY">"c7378"</definedName>
    <definedName name="IQ_NONFARM_WAGES_YOY_FC">"c8258"</definedName>
    <definedName name="IQ_NONINTEREST_BEARING_BALANCES_FDIC">"c6394"</definedName>
    <definedName name="IQ_NONINTEREST_BEARING_CASH_FFIEC">"c12774"</definedName>
    <definedName name="IQ_NONINTEREST_BEARING_DEPOSITS_DOMESTIC_FDIC">"c6477"</definedName>
    <definedName name="IQ_NONINTEREST_BEARING_DEPOSITS_FOREIGN_FDIC">"c6484"</definedName>
    <definedName name="IQ_NONINTEREST_EXPENSE_EARNING_ASSETS_FDIC">"c6728"</definedName>
    <definedName name="IQ_NONINTEREST_INC_FOREIGN_FFIEC">"c15376"</definedName>
    <definedName name="IQ_NONINTEREST_INCOME_EARNING_ASSETS_FDIC">"c6727"</definedName>
    <definedName name="IQ_NONMORTGAGE_SERVICING_FDIC">"c6336"</definedName>
    <definedName name="IQ_NONQUALIFYING_PREFERRED_T1_FFIEC">"c13134"</definedName>
    <definedName name="IQ_NONRECOURSE_DEBT">"c2550"</definedName>
    <definedName name="IQ_NONRECOURSE_DEBT_PCT">"c2551"</definedName>
    <definedName name="IQ_NONRES_FIXED_INVEST">"c6931"</definedName>
    <definedName name="IQ_NONRES_FIXED_INVEST_APR">"c7591"</definedName>
    <definedName name="IQ_NONRES_FIXED_INVEST_POP">"c7151"</definedName>
    <definedName name="IQ_NONRES_FIXED_INVEST_PRIV_APR_FC_UNUSED">"c8468"</definedName>
    <definedName name="IQ_NONRES_FIXED_INVEST_PRIV_APR_FC_UNUSED_UNUSED_UNUSED">"c8468"</definedName>
    <definedName name="IQ_NONRES_FIXED_INVEST_PRIV_APR_UNUSED">"c7588"</definedName>
    <definedName name="IQ_NONRES_FIXED_INVEST_PRIV_APR_UNUSED_UNUSED_UNUSED">"c7588"</definedName>
    <definedName name="IQ_NONRES_FIXED_INVEST_PRIV_FC_UNUSED">"c7808"</definedName>
    <definedName name="IQ_NONRES_FIXED_INVEST_PRIV_FC_UNUSED_UNUSED_UNUSED">"c7808"</definedName>
    <definedName name="IQ_NONRES_FIXED_INVEST_PRIV_POP_FC_UNUSED">"c8028"</definedName>
    <definedName name="IQ_NONRES_FIXED_INVEST_PRIV_POP_FC_UNUSED_UNUSED_UNUSED">"c8028"</definedName>
    <definedName name="IQ_NONRES_FIXED_INVEST_PRIV_POP_UNUSED">"c7148"</definedName>
    <definedName name="IQ_NONRES_FIXED_INVEST_PRIV_POP_UNUSED_UNUSED_UNUSED">"c7148"</definedName>
    <definedName name="IQ_NONRES_FIXED_INVEST_PRIV_REAL">"c6989"</definedName>
    <definedName name="IQ_NONRES_FIXED_INVEST_PRIV_REAL_APR">"c7649"</definedName>
    <definedName name="IQ_NONRES_FIXED_INVEST_PRIV_REAL_APR_FC">"c8529"</definedName>
    <definedName name="IQ_NONRES_FIXED_INVEST_PRIV_REAL_FC">"c7869"</definedName>
    <definedName name="IQ_NONRES_FIXED_INVEST_PRIV_REAL_POP">"c7209"</definedName>
    <definedName name="IQ_NONRES_FIXED_INVEST_PRIV_REAL_POP_FC">"c8089"</definedName>
    <definedName name="IQ_NONRES_FIXED_INVEST_PRIV_REAL_SAAR">"c6990"</definedName>
    <definedName name="IQ_NONRES_FIXED_INVEST_PRIV_REAL_SAAR_APR">"c7650"</definedName>
    <definedName name="IQ_NONRES_FIXED_INVEST_PRIV_REAL_SAAR_APR_FC">"c8530"</definedName>
    <definedName name="IQ_NONRES_FIXED_INVEST_PRIV_REAL_SAAR_FC">"c7870"</definedName>
    <definedName name="IQ_NONRES_FIXED_INVEST_PRIV_REAL_SAAR_POP">"c7210"</definedName>
    <definedName name="IQ_NONRES_FIXED_INVEST_PRIV_REAL_SAAR_POP_FC">"c8090"</definedName>
    <definedName name="IQ_NONRES_FIXED_INVEST_PRIV_REAL_SAAR_USD_APR_FC">"c11981"</definedName>
    <definedName name="IQ_NONRES_FIXED_INVEST_PRIV_REAL_SAAR_USD_FC">"c11978"</definedName>
    <definedName name="IQ_NONRES_FIXED_INVEST_PRIV_REAL_SAAR_USD_POP_FC">"c11979"</definedName>
    <definedName name="IQ_NONRES_FIXED_INVEST_PRIV_REAL_SAAR_USD_YOY_FC">"c11980"</definedName>
    <definedName name="IQ_NONRES_FIXED_INVEST_PRIV_REAL_SAAR_YOY">"c7430"</definedName>
    <definedName name="IQ_NONRES_FIXED_INVEST_PRIV_REAL_SAAR_YOY_FC">"c8310"</definedName>
    <definedName name="IQ_NONRES_FIXED_INVEST_PRIV_REAL_USD_APR_FC">"c11977"</definedName>
    <definedName name="IQ_NONRES_FIXED_INVEST_PRIV_REAL_USD_FC">"c11974"</definedName>
    <definedName name="IQ_NONRES_FIXED_INVEST_PRIV_REAL_USD_POP_FC">"c11975"</definedName>
    <definedName name="IQ_NONRES_FIXED_INVEST_PRIV_REAL_USD_YOY_FC">"c11976"</definedName>
    <definedName name="IQ_NONRES_FIXED_INVEST_PRIV_REAL_YOY">"c7429"</definedName>
    <definedName name="IQ_NONRES_FIXED_INVEST_PRIV_REAL_YOY_FC">"c8309"</definedName>
    <definedName name="IQ_NONRES_FIXED_INVEST_PRIV_SAAR">"c6929"</definedName>
    <definedName name="IQ_NONRES_FIXED_INVEST_PRIV_SAAR_APR">"c7589"</definedName>
    <definedName name="IQ_NONRES_FIXED_INVEST_PRIV_SAAR_APR_FC">"c8469"</definedName>
    <definedName name="IQ_NONRES_FIXED_INVEST_PRIV_SAAR_FC">"c7809"</definedName>
    <definedName name="IQ_NONRES_FIXED_INVEST_PRIV_SAAR_POP">"c7149"</definedName>
    <definedName name="IQ_NONRES_FIXED_INVEST_PRIV_SAAR_POP_FC">"c8029"</definedName>
    <definedName name="IQ_NONRES_FIXED_INVEST_PRIV_SAAR_USD_APR_FC">"c11877"</definedName>
    <definedName name="IQ_NONRES_FIXED_INVEST_PRIV_SAAR_USD_FC">"c11874"</definedName>
    <definedName name="IQ_NONRES_FIXED_INVEST_PRIV_SAAR_USD_POP_FC">"c11875"</definedName>
    <definedName name="IQ_NONRES_FIXED_INVEST_PRIV_SAAR_USD_YOY_FC">"c11876"</definedName>
    <definedName name="IQ_NONRES_FIXED_INVEST_PRIV_SAAR_YOY">"c7369"</definedName>
    <definedName name="IQ_NONRES_FIXED_INVEST_PRIV_SAAR_YOY_FC">"c8249"</definedName>
    <definedName name="IQ_NONRES_FIXED_INVEST_PRIV_UNUSED">"c6928"</definedName>
    <definedName name="IQ_NONRES_FIXED_INVEST_PRIV_UNUSED_UNUSED_UNUSED">"c6928"</definedName>
    <definedName name="IQ_NONRES_FIXED_INVEST_PRIV_USD_APR_FC">"c11873"</definedName>
    <definedName name="IQ_NONRES_FIXED_INVEST_PRIV_USD_FC">"c11870"</definedName>
    <definedName name="IQ_NONRES_FIXED_INVEST_PRIV_USD_POP_FC">"c11871"</definedName>
    <definedName name="IQ_NONRES_FIXED_INVEST_PRIV_USD_YOY_FC">"c11872"</definedName>
    <definedName name="IQ_NONRES_FIXED_INVEST_PRIV_YOY_FC_UNUSED">"c8248"</definedName>
    <definedName name="IQ_NONRES_FIXED_INVEST_PRIV_YOY_FC_UNUSED_UNUSED_UNUSED">"c8248"</definedName>
    <definedName name="IQ_NONRES_FIXED_INVEST_PRIV_YOY_UNUSED">"c7368"</definedName>
    <definedName name="IQ_NONRES_FIXED_INVEST_PRIV_YOY_UNUSED_UNUSED_UNUSED">"c7368"</definedName>
    <definedName name="IQ_NONRES_FIXED_INVEST_REAL">"c6993"</definedName>
    <definedName name="IQ_NONRES_FIXED_INVEST_REAL_APR">"c7653"</definedName>
    <definedName name="IQ_NONRES_FIXED_INVEST_REAL_POP">"c7213"</definedName>
    <definedName name="IQ_NONRES_FIXED_INVEST_REAL_SAAR">"c6987"</definedName>
    <definedName name="IQ_NONRES_FIXED_INVEST_REAL_SAAR_APR">"c7647"</definedName>
    <definedName name="IQ_NONRES_FIXED_INVEST_REAL_SAAR_APR_FC">"c8527"</definedName>
    <definedName name="IQ_NONRES_FIXED_INVEST_REAL_SAAR_FC">"c7867"</definedName>
    <definedName name="IQ_NONRES_FIXED_INVEST_REAL_SAAR_POP">"c7207"</definedName>
    <definedName name="IQ_NONRES_FIXED_INVEST_REAL_SAAR_POP_FC">"c8087"</definedName>
    <definedName name="IQ_NONRES_FIXED_INVEST_REAL_SAAR_YOY">"c7427"</definedName>
    <definedName name="IQ_NONRES_FIXED_INVEST_REAL_SAAR_YOY_FC">"c8307"</definedName>
    <definedName name="IQ_NONRES_FIXED_INVEST_REAL_USD_APR_FC">"c11973"</definedName>
    <definedName name="IQ_NONRES_FIXED_INVEST_REAL_USD_FC">"c11970"</definedName>
    <definedName name="IQ_NONRES_FIXED_INVEST_REAL_USD_POP_FC">"c11971"</definedName>
    <definedName name="IQ_NONRES_FIXED_INVEST_REAL_USD_YOY_FC">"c11972"</definedName>
    <definedName name="IQ_NONRES_FIXED_INVEST_REAL_YOY">"c7433"</definedName>
    <definedName name="IQ_NONRES_FIXED_INVEST_STRUCT">"c6930"</definedName>
    <definedName name="IQ_NONRES_FIXED_INVEST_STRUCT_APR">"c7590"</definedName>
    <definedName name="IQ_NONRES_FIXED_INVEST_STRUCT_APR_FC">"c8470"</definedName>
    <definedName name="IQ_NONRES_FIXED_INVEST_STRUCT_FC">"c7810"</definedName>
    <definedName name="IQ_NONRES_FIXED_INVEST_STRUCT_POP">"c7150"</definedName>
    <definedName name="IQ_NONRES_FIXED_INVEST_STRUCT_POP_FC">"c8030"</definedName>
    <definedName name="IQ_NONRES_FIXED_INVEST_STRUCT_REAL">"c6992"</definedName>
    <definedName name="IQ_NONRES_FIXED_INVEST_STRUCT_REAL_APR">"c7652"</definedName>
    <definedName name="IQ_NONRES_FIXED_INVEST_STRUCT_REAL_APR_FC">"c8532"</definedName>
    <definedName name="IQ_NONRES_FIXED_INVEST_STRUCT_REAL_FC">"c7872"</definedName>
    <definedName name="IQ_NONRES_FIXED_INVEST_STRUCT_REAL_POP">"c7212"</definedName>
    <definedName name="IQ_NONRES_FIXED_INVEST_STRUCT_REAL_POP_FC">"c8092"</definedName>
    <definedName name="IQ_NONRES_FIXED_INVEST_STRUCT_REAL_SAAR">"c6991"</definedName>
    <definedName name="IQ_NONRES_FIXED_INVEST_STRUCT_REAL_SAAR_APR">"c7651"</definedName>
    <definedName name="IQ_NONRES_FIXED_INVEST_STRUCT_REAL_SAAR_APR_FC">"c8531"</definedName>
    <definedName name="IQ_NONRES_FIXED_INVEST_STRUCT_REAL_SAAR_FC">"c7871"</definedName>
    <definedName name="IQ_NONRES_FIXED_INVEST_STRUCT_REAL_SAAR_POP">"c7211"</definedName>
    <definedName name="IQ_NONRES_FIXED_INVEST_STRUCT_REAL_SAAR_POP_FC">"c8091"</definedName>
    <definedName name="IQ_NONRES_FIXED_INVEST_STRUCT_REAL_SAAR_YOY">"c7431"</definedName>
    <definedName name="IQ_NONRES_FIXED_INVEST_STRUCT_REAL_SAAR_YOY_FC">"c8311"</definedName>
    <definedName name="IQ_NONRES_FIXED_INVEST_STRUCT_REAL_USD_APR_FC">"c11985"</definedName>
    <definedName name="IQ_NONRES_FIXED_INVEST_STRUCT_REAL_USD_FC">"c11982"</definedName>
    <definedName name="IQ_NONRES_FIXED_INVEST_STRUCT_REAL_USD_POP_FC">"c11983"</definedName>
    <definedName name="IQ_NONRES_FIXED_INVEST_STRUCT_REAL_USD_YOY_FC">"c11984"</definedName>
    <definedName name="IQ_NONRES_FIXED_INVEST_STRUCT_REAL_YOY">"c7432"</definedName>
    <definedName name="IQ_NONRES_FIXED_INVEST_STRUCT_REAL_YOY_FC">"c8312"</definedName>
    <definedName name="IQ_NONRES_FIXED_INVEST_STRUCT_USD_APR_FC">"c11881"</definedName>
    <definedName name="IQ_NONRES_FIXED_INVEST_STRUCT_USD_FC">"c11878"</definedName>
    <definedName name="IQ_NONRES_FIXED_INVEST_STRUCT_USD_POP_FC">"c11879"</definedName>
    <definedName name="IQ_NONRES_FIXED_INVEST_STRUCT_USD_YOY_FC">"c11880"</definedName>
    <definedName name="IQ_NONRES_FIXED_INVEST_STRUCT_YOY">"c7370"</definedName>
    <definedName name="IQ_NONRES_FIXED_INVEST_STRUCT_YOY_FC">"c8250"</definedName>
    <definedName name="IQ_NONRES_FIXED_INVEST_USD_APR_FC">"c11869"</definedName>
    <definedName name="IQ_NONRES_FIXED_INVEST_USD_FC">"c11866"</definedName>
    <definedName name="IQ_NONRES_FIXED_INVEST_USD_POP_FC">"c11867"</definedName>
    <definedName name="IQ_NONRES_FIXED_INVEST_USD_YOY_FC">"c11868"</definedName>
    <definedName name="IQ_NONRES_FIXED_INVEST_YOY">"c7371"</definedName>
    <definedName name="IQ_NONTRADING_SECURITIES_FAIR_VALUE_TOT_FFIEC">"c13211"</definedName>
    <definedName name="IQ_NONTRADING_SECURITIES_LEVEL_1_FFIEC">"c13219"</definedName>
    <definedName name="IQ_NONTRADING_SECURITIES_LEVEL_2_FFIEC">"c13227"</definedName>
    <definedName name="IQ_NONTRADING_SECURITIES_LEVEL_3_FFIEC">"c13235"</definedName>
    <definedName name="IQ_NONTRANSACTION_ACCOUNTS_FDIC">"c6552"</definedName>
    <definedName name="IQ_NONUTIL_REV">"c2089"</definedName>
    <definedName name="IQ_NORM_EPS_ACT_OR_EST">"c2249"</definedName>
    <definedName name="IQ_NORM_EPS_ACT_OR_EST_CIQ">"c5069"</definedName>
    <definedName name="IQ_NORMAL_INC_AFTER">"c1605"</definedName>
    <definedName name="IQ_NORMAL_INC_AVAIL">"c1606"</definedName>
    <definedName name="IQ_NORMAL_INC_BEFORE">"c1607"</definedName>
    <definedName name="IQ_NOTES_PAY">"c1423"</definedName>
    <definedName name="IQ_NOTIONAL_AMOUNT_CREDIT_DERIVATIVES_FDIC">"c6507"</definedName>
    <definedName name="IQ_NOTIONAL_AMT_DERIVATIVES_BENEFICIARY_FFIEC">"c13118"</definedName>
    <definedName name="IQ_NOTIONAL_AMT_DERIVATIVES_GUARANTOR_FFIEC">"c13111"</definedName>
    <definedName name="IQ_NOTIONAL_VALUE_EXCHANGE_SWAPS_FDIC">"c6516"</definedName>
    <definedName name="IQ_NOTIONAL_VALUE_OTHER_SWAPS_FDIC">"c6521"</definedName>
    <definedName name="IQ_NOTIONAL_VALUE_RATE_SWAPS_FDIC">"c6511"</definedName>
    <definedName name="IQ_NOW_ACCOUNT">"c828"</definedName>
    <definedName name="IQ_NOW_ATS_ACCOUNTS_COMMERCIAL_BANK_SUBS_FFIEC">"c12946"</definedName>
    <definedName name="IQ_NOW_ATS_ACCOUNTS_OTHER_INSTITUTIONS_FFIEC">"c12951"</definedName>
    <definedName name="IQ_NOW_OTHER_TRANS_ACCTS_TOT_DEPOSITS_FFIEC">"c13903"</definedName>
    <definedName name="IQ_NPPE">"c829"</definedName>
    <definedName name="IQ_NPPE_10YR_ANN_CAGR">"c6130"</definedName>
    <definedName name="IQ_NPPE_10YR_ANN_GROWTH">"c830"</definedName>
    <definedName name="IQ_NPPE_1YR_ANN_GROWTH">"c831"</definedName>
    <definedName name="IQ_NPPE_2YR_ANN_CAGR">"c6131"</definedName>
    <definedName name="IQ_NPPE_2YR_ANN_GROWTH">"c832"</definedName>
    <definedName name="IQ_NPPE_3YR_ANN_CAGR">"c6132"</definedName>
    <definedName name="IQ_NPPE_3YR_ANN_GROWTH">"c833"</definedName>
    <definedName name="IQ_NPPE_5YR_ANN_CAGR">"c6133"</definedName>
    <definedName name="IQ_NPPE_5YR_ANN_GROWTH">"c834"</definedName>
    <definedName name="IQ_NPPE_7YR_ANN_CAGR">"c6134"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_CONTRIBUTORS">"c13739"</definedName>
    <definedName name="IQ_NUMBER_ADRHOLDERS">"c1970"</definedName>
    <definedName name="IQ_NUMBER_DAYS">"c1904"</definedName>
    <definedName name="IQ_NUMBER_DEPOSITS_LESS_THAN_100K_FDIC">"c6495"</definedName>
    <definedName name="IQ_NUMBER_DEPOSITS_MORE_THAN_100K_FDIC">"c6493"</definedName>
    <definedName name="IQ_NUMBER_MINES_ALUM">"c9248"</definedName>
    <definedName name="IQ_NUMBER_MINES_COAL">"c9822"</definedName>
    <definedName name="IQ_NUMBER_MINES_COP">"c9193"</definedName>
    <definedName name="IQ_NUMBER_MINES_DIAM">"c9672"</definedName>
    <definedName name="IQ_NUMBER_MINES_GOLD">"c9033"</definedName>
    <definedName name="IQ_NUMBER_MINES_IRON">"c9407"</definedName>
    <definedName name="IQ_NUMBER_MINES_LEAD">"c9460"</definedName>
    <definedName name="IQ_NUMBER_MINES_MANG">"c9513"</definedName>
    <definedName name="IQ_NUMBER_MINES_MOLYB">"c9725"</definedName>
    <definedName name="IQ_NUMBER_MINES_NICK">"c9301"</definedName>
    <definedName name="IQ_NUMBER_MINES_PLAT">"c9139"</definedName>
    <definedName name="IQ_NUMBER_MINES_SILVER">"c9086"</definedName>
    <definedName name="IQ_NUMBER_MINES_TITAN">"c9566"</definedName>
    <definedName name="IQ_NUMBER_MINES_URAN">"c9619"</definedName>
    <definedName name="IQ_NUMBER_MINES_ZINC">"c9354"</definedName>
    <definedName name="IQ_NUMBER_SHAREHOLDERS">"c1967"</definedName>
    <definedName name="IQ_NUMBER_SHAREHOLDERS_CLASSA">"c1968"</definedName>
    <definedName name="IQ_NUMBER_SHAREHOLDERS_OTHER">"c1969"</definedName>
    <definedName name="IQ_OBLIGATION_STATES_POLI_SUBD_US_LL_REC_DOM_FFIEC">"c15295"</definedName>
    <definedName name="IQ_OBLIGATION_STATES_POLI_SUBD_US_LL_REC_FFIEC">"c15294"</definedName>
    <definedName name="IQ_OBLIGATIONS_OF_STATES_TOTAL_LOANS_FOREIGN_FDIC">"c6447"</definedName>
    <definedName name="IQ_OBLIGATIONS_STATES_FDIC">"c6431"</definedName>
    <definedName name="IQ_OCCUPANCY_CONSOL">"c8840"</definedName>
    <definedName name="IQ_OCCUPANCY_EXP_AVG_ASSETS_FFIEC">"c13372"</definedName>
    <definedName name="IQ_OCCUPANCY_EXP_OPERATING_INC_FFIEC">"c13380"</definedName>
    <definedName name="IQ_OCCUPANCY_MANAGED">"c8842"</definedName>
    <definedName name="IQ_OCCUPANCY_OTHER">"c8843"</definedName>
    <definedName name="IQ_OCCUPANCY_SAME_PROP">"c8845"</definedName>
    <definedName name="IQ_OCCUPANCY_TOTAL">"c8844"</definedName>
    <definedName name="IQ_OCCUPANCY_UNCONSOL">"c8841"</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GAS_EQUIV_PRODUCTION_MMCFE">"c10061"</definedName>
    <definedName name="IQ_OG_AVG_DAILY_OIL_EQUIV_PRODUCTION_KBOE">"c10060"</definedName>
    <definedName name="IQ_OG_AVG_DAILY_PROD_GAS">"c2910"</definedName>
    <definedName name="IQ_OG_AVG_DAILY_PROD_NGL">"c2911"</definedName>
    <definedName name="IQ_OG_AVG_DAILY_PROD_OIL">"c2909"</definedName>
    <definedName name="IQ_OG_AVG_DAILY_PRODUCTION_GAS_MMCM">"c10059"</definedName>
    <definedName name="IQ_OG_AVG_DAILY_SALES_VOL_EQ_INC_GAS">"c5797"</definedName>
    <definedName name="IQ_OG_AVG_DAILY_SALES_VOL_EQ_INC_NGL">"c5798"</definedName>
    <definedName name="IQ_OG_AVG_DAILY_SALES_VOL_EQ_INC_OIL">"c5796"</definedName>
    <definedName name="IQ_OG_AVG_GAS_PRICE_CBM_HEDGED">"c10054"</definedName>
    <definedName name="IQ_OG_AVG_GAS_PRICE_CBM_UNHEDGED">"c10055"</definedName>
    <definedName name="IQ_OG_AVG_PRODUCTION_COST_BBL">"c10062"</definedName>
    <definedName name="IQ_OG_AVG_PRODUCTION_COST_BOE">"c10064"</definedName>
    <definedName name="IQ_OG_AVG_PRODUCTION_COST_MCF">"c10063"</definedName>
    <definedName name="IQ_OG_AVG_PRODUCTION_COST_MCFE">"c10065"</definedName>
    <definedName name="IQ_OG_CLOSE_BALANCE_GAS">"c2049"</definedName>
    <definedName name="IQ_OG_CLOSE_BALANCE_NGL">"c2920"</definedName>
    <definedName name="IQ_OG_CLOSE_BALANCE_OIL">"c2037"</definedName>
    <definedName name="IQ_OG_DAILY_PRDUCTION_GROWTH_GAS">"c12732"</definedName>
    <definedName name="IQ_OG_DAILY_PRDUCTION_GROWTH_GAS_EQUIVALENT">"c12733"</definedName>
    <definedName name="IQ_OG_DAILY_PRDUCTION_GROWTH_NGL">"c12734"</definedName>
    <definedName name="IQ_OG_DAILY_PRDUCTION_GROWTH_OIL">"c12735"</definedName>
    <definedName name="IQ_OG_DAILY_PRDUCTION_GROWTH_OIL_EQUIVALENT">"c12736"</definedName>
    <definedName name="IQ_OG_DAILY_PRODUCTION_GROWTH_GAS">"c10073"</definedName>
    <definedName name="IQ_OG_DAILY_PRODUCTION_GROWTH_GAS_EQUIVALENT">"c10076"</definedName>
    <definedName name="IQ_OG_DAILY_PRODUCTION_GROWTH_NGL">"c10074"</definedName>
    <definedName name="IQ_OG_DAILY_PRODUCTION_GROWTH_OIL">"c10072"</definedName>
    <definedName name="IQ_OG_DAILY_PRODUCTION_GROWTH_OIL_EQUIVALENT">"c10075"</definedName>
    <definedName name="IQ_OG_DCF_BEFORE_TAXES">"c2023"</definedName>
    <definedName name="IQ_OG_DCF_BEFORE_TAXES_GAS">"c2025"</definedName>
    <definedName name="IQ_OG_DCF_BEFORE_TAXES_OIL">"c2024"</definedName>
    <definedName name="IQ_OG_DEVELOPED_ACRE_GROSS_EQ_INC">"c5802"</definedName>
    <definedName name="IQ_OG_DEVELOPED_ACRE_NET_EQ_INC">"c5803"</definedName>
    <definedName name="IQ_OG_DEVELOPED_RESERVES_GAS">"c2053"</definedName>
    <definedName name="IQ_OG_DEVELOPED_RESERVES_GAS_BCM">"c10045"</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AFFILIATES_RESERVES_GAS_BCM">"c10047"</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XPLORATION_COSTS">"c1977"</definedName>
    <definedName name="IQ_OG_EXPLORATION_COSTS_GAS">"c1989"</definedName>
    <definedName name="IQ_OG_EXPLORATION_COSTS_OIL">"c1983"</definedName>
    <definedName name="IQ_OG_EXPLORATION_DEVELOPMENT_COST">"c10081"</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GROSS_DEVELOPED_AREA_SQ_KM">"c10079"</definedName>
    <definedName name="IQ_OG_GROSS_DEVELOPMENT_DRY_WELLS_DRILLED">"c10098"</definedName>
    <definedName name="IQ_OG_GROSS_DEVELOPMENT_PRODUCTIVE_WELLS_DRILLED">"c10097"</definedName>
    <definedName name="IQ_OG_GROSS_DEVELOPMENT_TOTAL_WELLS_DRILLED">"c10099"</definedName>
    <definedName name="IQ_OG_GROSS_EXPLORATORY_DRY_WELLS_DRILLED">"c10095"</definedName>
    <definedName name="IQ_OG_GROSS_EXPLORATORY_PRODUCTIVE_WELLS_DRILLED">"c10094"</definedName>
    <definedName name="IQ_OG_GROSS_EXPLORATORY_TOTAL_WELLS_DRILLED">"c10096"</definedName>
    <definedName name="IQ_OG_GROSS_OPERATED_WELLS">"c10092"</definedName>
    <definedName name="IQ_OG_GROSS_PRODUCTIVE_WELLS_GAS">"c10087"</definedName>
    <definedName name="IQ_OG_GROSS_PRODUCTIVE_WELLS_OIL">"c10086"</definedName>
    <definedName name="IQ_OG_GROSS_PRODUCTIVE_WELLS_TOTAL">"c10088"</definedName>
    <definedName name="IQ_OG_GROSS_TOTAL_WELLS_DRILLED">"c10100"</definedName>
    <definedName name="IQ_OG_GROSS_UNDEVELOPED_AREA_SQ_KM">"c10077"</definedName>
    <definedName name="IQ_OG_GROSS_WELLS_DRILLING">"c10108"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DEVELOPED_AREA_SQ_KM">"c10080"</definedName>
    <definedName name="IQ_OG_NET_DEVELOPMENT_DRY_WELLS_DRILLED">"c10105"</definedName>
    <definedName name="IQ_OG_NET_DEVELOPMENT_PRODUCTIVE_WELLS_DRILLED">"c10104"</definedName>
    <definedName name="IQ_OG_NET_DEVELOPMENT_TOTAL_WELLS_DRILLED">"c10106"</definedName>
    <definedName name="IQ_OG_NET_EXPLORATORY_DRY_WELLS_DRILLED">"c10102"</definedName>
    <definedName name="IQ_OG_NET_EXPLORATORY_PRODUCTIVE_WELLS_DRILLED">"c10101"</definedName>
    <definedName name="IQ_OG_NET_EXPLORATORY_TOTAL_WELLS_DRILLED">"c10103"</definedName>
    <definedName name="IQ_OG_NET_FUTURE_CASH_FLOWS">"c1996"</definedName>
    <definedName name="IQ_OG_NET_FUTURE_CASH_FLOWS_GAS">"c2016"</definedName>
    <definedName name="IQ_OG_NET_FUTURE_CASH_FLOWS_OIL">"c2006"</definedName>
    <definedName name="IQ_OG_NET_OPERATED_WELLS">"c10093"</definedName>
    <definedName name="IQ_OG_NET_PRODUCTIVE_WELLS_GAS">"c10090"</definedName>
    <definedName name="IQ_OG_NET_PRODUCTIVE_WELLS_OIL">"c10089"</definedName>
    <definedName name="IQ_OG_NET_PRODUCTIVE_WELLS_TOTAL">"c10091"</definedName>
    <definedName name="IQ_OG_NET_TOTAL_WELLS_DRILLED">"c10107"</definedName>
    <definedName name="IQ_OG_NET_UNDEVELOPED_AREA_SQ_KM">"c10078"</definedName>
    <definedName name="IQ_OG_NET_WELLS_DRILLING">"c10109"</definedName>
    <definedName name="IQ_OG_NUMBER_WELLS_NEW">"c10085"</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DUCTION_GROWTH_GAS">"c12737"</definedName>
    <definedName name="IQ_OG_PRDUCTION_GROWTH_GAS_EQUIVALENT">"c12738"</definedName>
    <definedName name="IQ_OG_PRDUCTION_GROWTH_NGL">"c12739"</definedName>
    <definedName name="IQ_OG_PRDUCTION_GROWTH_OIL">"c12740"</definedName>
    <definedName name="IQ_OG_PRDUCTION_GROWTH_OIL_EQUIVALENT">"c12741"</definedName>
    <definedName name="IQ_OG_PRDUCTION_GROWTH_TOAL">"c12742"</definedName>
    <definedName name="IQ_OG_PRODUCTION_GAS">"c2047"</definedName>
    <definedName name="IQ_OG_PRODUCTION_GROWTH_GAS">"c10067"</definedName>
    <definedName name="IQ_OG_PRODUCTION_GROWTH_GAS_EQUIVALENT">"c10070"</definedName>
    <definedName name="IQ_OG_PRODUCTION_GROWTH_NGL">"c10068"</definedName>
    <definedName name="IQ_OG_PRODUCTION_GROWTH_OIL">"c10066"</definedName>
    <definedName name="IQ_OG_PRODUCTION_GROWTH_OIL_EQUIVALENT">"c10069"</definedName>
    <definedName name="IQ_OG_PRODUCTION_GROWTH_TOTAL">"c10071"</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SERVE_REPLACEMENT_RATIO">"c5799"</definedName>
    <definedName name="IQ_OG_REVISIONS_GAS">"c2042"</definedName>
    <definedName name="IQ_OG_REVISIONS_NGL">"c2913"</definedName>
    <definedName name="IQ_OG_REVISIONS_OIL">"c2030"</definedName>
    <definedName name="IQ_OG_RIGS_NON_OPERATED">"c10083"</definedName>
    <definedName name="IQ_OG_RIGS_OPERATED">"c10082"</definedName>
    <definedName name="IQ_OG_RIGS_TOTAL">"c10084"</definedName>
    <definedName name="IQ_OG_SALES_IN_PLACE_GAS">"c2046"</definedName>
    <definedName name="IQ_OG_SALES_IN_PLACE_NGL">"c2917"</definedName>
    <definedName name="IQ_OG_SALES_IN_PLACE_OIL">"c2034"</definedName>
    <definedName name="IQ_OG_SALES_VOL_EQ_INC_GAS">"c5794"</definedName>
    <definedName name="IQ_OG_SALES_VOL_EQ_INC_NGL">"c5795"</definedName>
    <definedName name="IQ_OG_SALES_VOL_EQ_INC_OIL">"c5793"</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EQUIV_PRODUCTION_BCFE">"c10058"</definedName>
    <definedName name="IQ_OG_TOTAL_GAS_PRODUCTION">"c2060"</definedName>
    <definedName name="IQ_OG_TOTAL_LIQUID_GAS_PRODUCTION">"c2235"</definedName>
    <definedName name="IQ_OG_TOTAL_OIL_EQUIV_PRODUCTION_MMBOE">"c10057"</definedName>
    <definedName name="IQ_OG_TOTAL_OIL_PRODUCTION">"c2059"</definedName>
    <definedName name="IQ_OG_TOTAL_POSSIBLE_RESERVES_GAS_BCF">"c10050"</definedName>
    <definedName name="IQ_OG_TOTAL_POSSIBLE_RESERVES_GAS_BCM">"c10051"</definedName>
    <definedName name="IQ_OG_TOTAL_POSSIBLE_RESERVES_OIL_MMBBLS">"c10053"</definedName>
    <definedName name="IQ_OG_TOTAL_PROBABLE_RESERVES_GAS_BCF">"c10048"</definedName>
    <definedName name="IQ_OG_TOTAL_PROBABLE_RESERVES_GAS_BCM">"c10049"</definedName>
    <definedName name="IQ_OG_TOTAL_PROBABLE_RESERVES_OIL_MMBBLS">"c10052"</definedName>
    <definedName name="IQ_OG_TOTAL_PRODUCTION_GAS_BCM">"c10056"</definedName>
    <definedName name="IQ_OG_TOTAL_PROVED_RESERVES_GAS_BCM">"c10046"</definedName>
    <definedName name="IQ_OG_UNDEVELOPED_ACRE_GROSS_EQ_INC">"c5800"</definedName>
    <definedName name="IQ_OG_UNDEVELOPED_ACRE_NET_EQ_INC">"c5801"</definedName>
    <definedName name="IQ_OG_UNDEVELOPED_RESERVES_GAS">"c2051"</definedName>
    <definedName name="IQ_OG_UNDEVELOPED_RESERVES_GAS_BCM">"c10044"</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B_ACCRUED_LIAB">"c3308"</definedName>
    <definedName name="IQ_OPEB_ACCRUED_LIAB_DOM">"c3306"</definedName>
    <definedName name="IQ_OPEB_ACCRUED_LIAB_FOREIGN">"c3307"</definedName>
    <definedName name="IQ_OPEB_ACCUM_OTHER_CI">"c3314"</definedName>
    <definedName name="IQ_OPEB_ACCUM_OTHER_CI_DOM">"c3312"</definedName>
    <definedName name="IQ_OPEB_ACCUM_OTHER_CI_FOREIGN">"c3313"</definedName>
    <definedName name="IQ_OPEB_ACT_NEXT">"c5774"</definedName>
    <definedName name="IQ_OPEB_ACT_NEXT_DOM">"c5772"</definedName>
    <definedName name="IQ_OPEB_ACT_NEXT_FOREIGN">"c5773"</definedName>
    <definedName name="IQ_OPEB_AMT_RECOG_NEXT">"c5783"</definedName>
    <definedName name="IQ_OPEB_AMT_RECOG_NEXT_DOM">"c5781"</definedName>
    <definedName name="IQ_OPEB_AMT_RECOG_NEXT_FOREIGN">"c5782"</definedName>
    <definedName name="IQ_OPEB_ASSETS">"c3356"</definedName>
    <definedName name="IQ_OPEB_ASSETS_ACQ">"c3347"</definedName>
    <definedName name="IQ_OPEB_ASSETS_ACQ_DOM">"c3345"</definedName>
    <definedName name="IQ_OPEB_ASSETS_ACQ_FOREIGN">"c3346"</definedName>
    <definedName name="IQ_OPEB_ASSETS_ACTUAL_RETURN">"c3332"</definedName>
    <definedName name="IQ_OPEB_ASSETS_ACTUAL_RETURN_DOM">"c3330"</definedName>
    <definedName name="IQ_OPEB_ASSETS_ACTUAL_RETURN_FOREIGN">"c3331"</definedName>
    <definedName name="IQ_OPEB_ASSETS_BEG">"c3329"</definedName>
    <definedName name="IQ_OPEB_ASSETS_BEG_DOM">"c3327"</definedName>
    <definedName name="IQ_OPEB_ASSETS_BEG_FOREIGN">"c3328"</definedName>
    <definedName name="IQ_OPEB_ASSETS_BENEFITS_PAID">"c3341"</definedName>
    <definedName name="IQ_OPEB_ASSETS_BENEFITS_PAID_DOM">"c3339"</definedName>
    <definedName name="IQ_OPEB_ASSETS_BENEFITS_PAID_FOREIGN">"c3340"</definedName>
    <definedName name="IQ_OPEB_ASSETS_CURTAIL">"c3350"</definedName>
    <definedName name="IQ_OPEB_ASSETS_CURTAIL_DOM">"c3348"</definedName>
    <definedName name="IQ_OPEB_ASSETS_CURTAIL_FOREIGN">"c3349"</definedName>
    <definedName name="IQ_OPEB_ASSETS_DOM">"c3354"</definedName>
    <definedName name="IQ_OPEB_ASSETS_EMPLOYER_CONTRIBUTIONS">"c3335"</definedName>
    <definedName name="IQ_OPEB_ASSETS_EMPLOYER_CONTRIBUTIONS_DOM">"c3333"</definedName>
    <definedName name="IQ_OPEB_ASSETS_EMPLOYER_CONTRIBUTIONS_FOREIGN">"c3334"</definedName>
    <definedName name="IQ_OPEB_ASSETS_FOREIGN">"c3355"</definedName>
    <definedName name="IQ_OPEB_ASSETS_FX_ADJ">"c3344"</definedName>
    <definedName name="IQ_OPEB_ASSETS_FX_ADJ_DOM">"c3342"</definedName>
    <definedName name="IQ_OPEB_ASSETS_FX_ADJ_FOREIGN">"c3343"</definedName>
    <definedName name="IQ_OPEB_ASSETS_OTHER_PLAN_ADJ">"c3353"</definedName>
    <definedName name="IQ_OPEB_ASSETS_OTHER_PLAN_ADJ_DOM">"c3351"</definedName>
    <definedName name="IQ_OPEB_ASSETS_OTHER_PLAN_ADJ_FOREIGN">"c3352"</definedName>
    <definedName name="IQ_OPEB_ASSETS_PARTICIP_CONTRIBUTIONS">"c3338"</definedName>
    <definedName name="IQ_OPEB_ASSETS_PARTICIP_CONTRIBUTIONS_DOM">"c3336"</definedName>
    <definedName name="IQ_OPEB_ASSETS_PARTICIP_CONTRIBUTIONS_FOREIGN">"c3337"</definedName>
    <definedName name="IQ_OPEB_BENEFIT_INFO_DATE">"c3410"</definedName>
    <definedName name="IQ_OPEB_BENEFIT_INFO_DATE_DOM">"c3408"</definedName>
    <definedName name="IQ_OPEB_BENEFIT_INFO_DATE_FOREIGN">"c3409"</definedName>
    <definedName name="IQ_OPEB_BREAKDOWN_EQ">"c3275"</definedName>
    <definedName name="IQ_OPEB_BREAKDOWN_EQ_DOM">"c3273"</definedName>
    <definedName name="IQ_OPEB_BREAKDOWN_EQ_FOREIGN">"c3274"</definedName>
    <definedName name="IQ_OPEB_BREAKDOWN_FI">"c3278"</definedName>
    <definedName name="IQ_OPEB_BREAKDOWN_FI_DOM">"c3276"</definedName>
    <definedName name="IQ_OPEB_BREAKDOWN_FI_FOREIGN">"c3277"</definedName>
    <definedName name="IQ_OPEB_BREAKDOWN_OTHER">"c3284"</definedName>
    <definedName name="IQ_OPEB_BREAKDOWN_OTHER_DOM">"c3282"</definedName>
    <definedName name="IQ_OPEB_BREAKDOWN_OTHER_FOREIGN">"c3283"</definedName>
    <definedName name="IQ_OPEB_BREAKDOWN_PCT_EQ">"c3263"</definedName>
    <definedName name="IQ_OPEB_BREAKDOWN_PCT_EQ_DOM">"c3261"</definedName>
    <definedName name="IQ_OPEB_BREAKDOWN_PCT_EQ_FOREIGN">"c3262"</definedName>
    <definedName name="IQ_OPEB_BREAKDOWN_PCT_FI">"c3266"</definedName>
    <definedName name="IQ_OPEB_BREAKDOWN_PCT_FI_DOM">"c3264"</definedName>
    <definedName name="IQ_OPEB_BREAKDOWN_PCT_FI_FOREIGN">"c3265"</definedName>
    <definedName name="IQ_OPEB_BREAKDOWN_PCT_OTHER">"c3272"</definedName>
    <definedName name="IQ_OPEB_BREAKDOWN_PCT_OTHER_DOM">"c3270"</definedName>
    <definedName name="IQ_OPEB_BREAKDOWN_PCT_OTHER_FOREIGN">"c3271"</definedName>
    <definedName name="IQ_OPEB_BREAKDOWN_PCT_RE">"c3269"</definedName>
    <definedName name="IQ_OPEB_BREAKDOWN_PCT_RE_DOM">"c3267"</definedName>
    <definedName name="IQ_OPEB_BREAKDOWN_PCT_RE_FOREIGN">"c3268"</definedName>
    <definedName name="IQ_OPEB_BREAKDOWN_RE">"c3281"</definedName>
    <definedName name="IQ_OPEB_BREAKDOWN_RE_DOM">"c3279"</definedName>
    <definedName name="IQ_OPEB_BREAKDOWN_RE_FOREIGN">"c3280"</definedName>
    <definedName name="IQ_OPEB_CI_ACT">"c5759"</definedName>
    <definedName name="IQ_OPEB_CI_ACT_DOM">"c5757"</definedName>
    <definedName name="IQ_OPEB_CI_ACT_FOREIGN">"c5758"</definedName>
    <definedName name="IQ_OPEB_CI_NET_AMT_RECOG">"c5771"</definedName>
    <definedName name="IQ_OPEB_CI_NET_AMT_RECOG_DOM">"c5769"</definedName>
    <definedName name="IQ_OPEB_CI_NET_AMT_RECOG_FOREIGN">"c5770"</definedName>
    <definedName name="IQ_OPEB_CI_OTHER_MISC_ADJ">"c5768"</definedName>
    <definedName name="IQ_OPEB_CI_OTHER_MISC_ADJ_DOM">"c5766"</definedName>
    <definedName name="IQ_OPEB_CI_OTHER_MISC_ADJ_FOREIGN">"c5767"</definedName>
    <definedName name="IQ_OPEB_CI_PRIOR_SERVICE">"c5762"</definedName>
    <definedName name="IQ_OPEB_CI_PRIOR_SERVICE_DOM">"c5760"</definedName>
    <definedName name="IQ_OPEB_CI_PRIOR_SERVICE_FOREIGN">"c5761"</definedName>
    <definedName name="IQ_OPEB_CI_TRANSITION">"c5765"</definedName>
    <definedName name="IQ_OPEB_CI_TRANSITION_DOM">"c5763"</definedName>
    <definedName name="IQ_OPEB_CI_TRANSITION_FOREIGN">"c5764"</definedName>
    <definedName name="IQ_OPEB_CL">"c5789"</definedName>
    <definedName name="IQ_OPEB_CL_DOM">"c5787"</definedName>
    <definedName name="IQ_OPEB_CL_FOREIGN">"c5788"</definedName>
    <definedName name="IQ_OPEB_DECREASE_EFFECT_PBO">"c3458"</definedName>
    <definedName name="IQ_OPEB_DECREASE_EFFECT_PBO_DOM">"c3456"</definedName>
    <definedName name="IQ_OPEB_DECREASE_EFFECT_PBO_FOREIGN">"c3457"</definedName>
    <definedName name="IQ_OPEB_DECREASE_EFFECT_SERVICE_INT_COST">"c3455"</definedName>
    <definedName name="IQ_OPEB_DECREASE_EFFECT_SERVICE_INT_COST_DOM">"c3453"</definedName>
    <definedName name="IQ_OPEB_DECREASE_EFFECT_SERVICE_INT_COST_FOREIGN">"c3454"</definedName>
    <definedName name="IQ_OPEB_DISC_RATE_MAX">"c3422"</definedName>
    <definedName name="IQ_OPEB_DISC_RATE_MAX_DOM">"c3420"</definedName>
    <definedName name="IQ_OPEB_DISC_RATE_MAX_FOREIGN">"c3421"</definedName>
    <definedName name="IQ_OPEB_DISC_RATE_MIN">"c3419"</definedName>
    <definedName name="IQ_OPEB_DISC_RATE_MIN_DOM">"c3417"</definedName>
    <definedName name="IQ_OPEB_DISC_RATE_MIN_FOREIGN">"c3418"</definedName>
    <definedName name="IQ_OPEB_EST_BENEFIT_1YR">"c3287"</definedName>
    <definedName name="IQ_OPEB_EST_BENEFIT_1YR_DOM">"c3285"</definedName>
    <definedName name="IQ_OPEB_EST_BENEFIT_1YR_FOREIGN">"c3286"</definedName>
    <definedName name="IQ_OPEB_EST_BENEFIT_2YR">"c3290"</definedName>
    <definedName name="IQ_OPEB_EST_BENEFIT_2YR_DOM">"c3288"</definedName>
    <definedName name="IQ_OPEB_EST_BENEFIT_2YR_FOREIGN">"c3289"</definedName>
    <definedName name="IQ_OPEB_EST_BENEFIT_3YR">"c3293"</definedName>
    <definedName name="IQ_OPEB_EST_BENEFIT_3YR_DOM">"c3291"</definedName>
    <definedName name="IQ_OPEB_EST_BENEFIT_3YR_FOREIGN">"c3292"</definedName>
    <definedName name="IQ_OPEB_EST_BENEFIT_4YR">"c3296"</definedName>
    <definedName name="IQ_OPEB_EST_BENEFIT_4YR_DOM">"c3294"</definedName>
    <definedName name="IQ_OPEB_EST_BENEFIT_4YR_FOREIGN">"c3295"</definedName>
    <definedName name="IQ_OPEB_EST_BENEFIT_5YR">"c3299"</definedName>
    <definedName name="IQ_OPEB_EST_BENEFIT_5YR_DOM">"c3297"</definedName>
    <definedName name="IQ_OPEB_EST_BENEFIT_5YR_FOREIGN">"c3298"</definedName>
    <definedName name="IQ_OPEB_EST_BENEFIT_AFTER5">"c3302"</definedName>
    <definedName name="IQ_OPEB_EST_BENEFIT_AFTER5_DOM">"c3300"</definedName>
    <definedName name="IQ_OPEB_EST_BENEFIT_AFTER5_FOREIGN">"c3301"</definedName>
    <definedName name="IQ_OPEB_EXP_RATE_RETURN_MAX">"c3434"</definedName>
    <definedName name="IQ_OPEB_EXP_RATE_RETURN_MAX_DOM">"c3432"</definedName>
    <definedName name="IQ_OPEB_EXP_RATE_RETURN_MAX_FOREIGN">"c3433"</definedName>
    <definedName name="IQ_OPEB_EXP_RATE_RETURN_MIN">"c3431"</definedName>
    <definedName name="IQ_OPEB_EXP_RATE_RETURN_MIN_DOM">"c3429"</definedName>
    <definedName name="IQ_OPEB_EXP_RATE_RETURN_MIN_FOREIGN">"c3430"</definedName>
    <definedName name="IQ_OPEB_EXP_RETURN">"c3398"</definedName>
    <definedName name="IQ_OPEB_EXP_RETURN_DOM">"c3396"</definedName>
    <definedName name="IQ_OPEB_EXP_RETURN_FOREIGN">"c3397"</definedName>
    <definedName name="IQ_OPEB_HEALTH_COST_TREND_INITIAL">"c3413"</definedName>
    <definedName name="IQ_OPEB_HEALTH_COST_TREND_INITIAL_DOM">"c3411"</definedName>
    <definedName name="IQ_OPEB_HEALTH_COST_TREND_INITIAL_FOREIGN">"c3412"</definedName>
    <definedName name="IQ_OPEB_HEALTH_COST_TREND_ULTIMATE">"c3416"</definedName>
    <definedName name="IQ_OPEB_HEALTH_COST_TREND_ULTIMATE_DOM">"c3414"</definedName>
    <definedName name="IQ_OPEB_HEALTH_COST_TREND_ULTIMATE_FOREIGN">"c3415"</definedName>
    <definedName name="IQ_OPEB_INCREASE_EFFECT_PBO">"c3452"</definedName>
    <definedName name="IQ_OPEB_INCREASE_EFFECT_PBO_DOM">"c3450"</definedName>
    <definedName name="IQ_OPEB_INCREASE_EFFECT_PBO_FOREIGN">"c3451"</definedName>
    <definedName name="IQ_OPEB_INCREASE_EFFECT_SERVICE_INT_COST">"c3449"</definedName>
    <definedName name="IQ_OPEB_INCREASE_EFFECT_SERVICE_INT_COST_DOM">"c3447"</definedName>
    <definedName name="IQ_OPEB_INCREASE_EFFECT_SERVICE_INT_COST_FOREIGN">"c3448"</definedName>
    <definedName name="IQ_OPEB_INTAN_ASSETS">"c3311"</definedName>
    <definedName name="IQ_OPEB_INTAN_ASSETS_DOM">"c3309"</definedName>
    <definedName name="IQ_OPEB_INTAN_ASSETS_FOREIGN">"c3310"</definedName>
    <definedName name="IQ_OPEB_INTEREST_COST">"c3395"</definedName>
    <definedName name="IQ_OPEB_INTEREST_COST_DOM">"c3393"</definedName>
    <definedName name="IQ_OPEB_INTEREST_COST_FOREIGN">"c3394"</definedName>
    <definedName name="IQ_OPEB_LT_ASSETS">"c5786"</definedName>
    <definedName name="IQ_OPEB_LT_ASSETS_DOM">"c5784"</definedName>
    <definedName name="IQ_OPEB_LT_ASSETS_FOREIGN">"c5785"</definedName>
    <definedName name="IQ_OPEB_LT_LIAB">"c5792"</definedName>
    <definedName name="IQ_OPEB_LT_LIAB_DOM">"c5790"</definedName>
    <definedName name="IQ_OPEB_LT_LIAB_FOREIGN">"c5791"</definedName>
    <definedName name="IQ_OPEB_NET_ASSET_RECOG">"c3326"</definedName>
    <definedName name="IQ_OPEB_NET_ASSET_RECOG_DOM">"c3324"</definedName>
    <definedName name="IQ_OPEB_NET_ASSET_RECOG_FOREIGN">"c3325"</definedName>
    <definedName name="IQ_OPEB_OBLIGATION_ACCUMULATED">"c3407"</definedName>
    <definedName name="IQ_OPEB_OBLIGATION_ACCUMULATED_DOM">"c3405"</definedName>
    <definedName name="IQ_OPEB_OBLIGATION_ACCUMULATED_FOREIGN">"c3406"</definedName>
    <definedName name="IQ_OPEB_OBLIGATION_ACQ">"c3380"</definedName>
    <definedName name="IQ_OPEB_OBLIGATION_ACQ_DOM">"c3378"</definedName>
    <definedName name="IQ_OPEB_OBLIGATION_ACQ_FOREIGN">"c3379"</definedName>
    <definedName name="IQ_OPEB_OBLIGATION_ACTUARIAL_GAIN_LOSS">"c3371"</definedName>
    <definedName name="IQ_OPEB_OBLIGATION_ACTUARIAL_GAIN_LOSS_DOM">"c3369"</definedName>
    <definedName name="IQ_OPEB_OBLIGATION_ACTUARIAL_GAIN_LOSS_FOREIGN">"c3370"</definedName>
    <definedName name="IQ_OPEB_OBLIGATION_BEG">"c3359"</definedName>
    <definedName name="IQ_OPEB_OBLIGATION_BEG_DOM">"c3357"</definedName>
    <definedName name="IQ_OPEB_OBLIGATION_BEG_FOREIGN">"c3358"</definedName>
    <definedName name="IQ_OPEB_OBLIGATION_CURTAIL">"c3383"</definedName>
    <definedName name="IQ_OPEB_OBLIGATION_CURTAIL_DOM">"c3381"</definedName>
    <definedName name="IQ_OPEB_OBLIGATION_CURTAIL_FOREIGN">"c3382"</definedName>
    <definedName name="IQ_OPEB_OBLIGATION_EMPLOYEE_CONTRIBUTIONS">"c3368"</definedName>
    <definedName name="IQ_OPEB_OBLIGATION_EMPLOYEE_CONTRIBUTIONS_DOM">"c3366"</definedName>
    <definedName name="IQ_OPEB_OBLIGATION_EMPLOYEE_CONTRIBUTIONS_FOREIGN">"c3367"</definedName>
    <definedName name="IQ_OPEB_OBLIGATION_FX_ADJ">"c3377"</definedName>
    <definedName name="IQ_OPEB_OBLIGATION_FX_ADJ_DOM">"c3375"</definedName>
    <definedName name="IQ_OPEB_OBLIGATION_FX_ADJ_FOREIGN">"c3376"</definedName>
    <definedName name="IQ_OPEB_OBLIGATION_INTEREST_COST">"c3365"</definedName>
    <definedName name="IQ_OPEB_OBLIGATION_INTEREST_COST_DOM">"c3363"</definedName>
    <definedName name="IQ_OPEB_OBLIGATION_INTEREST_COST_FOREIGN">"c3364"</definedName>
    <definedName name="IQ_OPEB_OBLIGATION_OTHER_PLAN_ADJ">"c3386"</definedName>
    <definedName name="IQ_OPEB_OBLIGATION_OTHER_PLAN_ADJ_DOM">"c3384"</definedName>
    <definedName name="IQ_OPEB_OBLIGATION_OTHER_PLAN_ADJ_FOREIGN">"c3385"</definedName>
    <definedName name="IQ_OPEB_OBLIGATION_PAID">"c3374"</definedName>
    <definedName name="IQ_OPEB_OBLIGATION_PAID_DOM">"c3372"</definedName>
    <definedName name="IQ_OPEB_OBLIGATION_PAID_FOREIGN">"c3373"</definedName>
    <definedName name="IQ_OPEB_OBLIGATION_PROJECTED">"c3389"</definedName>
    <definedName name="IQ_OPEB_OBLIGATION_PROJECTED_DOM">"c3387"</definedName>
    <definedName name="IQ_OPEB_OBLIGATION_PROJECTED_FOREIGN">"c3388"</definedName>
    <definedName name="IQ_OPEB_OBLIGATION_SERVICE_COST">"c3362"</definedName>
    <definedName name="IQ_OPEB_OBLIGATION_SERVICE_COST_DOM">"c3360"</definedName>
    <definedName name="IQ_OPEB_OBLIGATION_SERVICE_COST_FOREIGN">"c3361"</definedName>
    <definedName name="IQ_OPEB_OTHER">"c3317"</definedName>
    <definedName name="IQ_OPEB_OTHER_ADJ">"c3323"</definedName>
    <definedName name="IQ_OPEB_OTHER_ADJ_DOM">"c3321"</definedName>
    <definedName name="IQ_OPEB_OTHER_ADJ_FOREIGN">"c3322"</definedName>
    <definedName name="IQ_OPEB_OTHER_COST">"c3401"</definedName>
    <definedName name="IQ_OPEB_OTHER_COST_DOM">"c3399"</definedName>
    <definedName name="IQ_OPEB_OTHER_COST_FOREIGN">"c3400"</definedName>
    <definedName name="IQ_OPEB_OTHER_DOM">"c3315"</definedName>
    <definedName name="IQ_OPEB_OTHER_FOREIGN">"c3316"</definedName>
    <definedName name="IQ_OPEB_PBO_ASSUMED_RATE_RET_MAX">"c3440"</definedName>
    <definedName name="IQ_OPEB_PBO_ASSUMED_RATE_RET_MAX_DOM">"c3438"</definedName>
    <definedName name="IQ_OPEB_PBO_ASSUMED_RATE_RET_MAX_FOREIGN">"c3439"</definedName>
    <definedName name="IQ_OPEB_PBO_ASSUMED_RATE_RET_MIN">"c3437"</definedName>
    <definedName name="IQ_OPEB_PBO_ASSUMED_RATE_RET_MIN_DOM">"c3435"</definedName>
    <definedName name="IQ_OPEB_PBO_ASSUMED_RATE_RET_MIN_FOREIGN">"c3436"</definedName>
    <definedName name="IQ_OPEB_PBO_RATE_COMP_INCREASE_MAX">"c3446"</definedName>
    <definedName name="IQ_OPEB_PBO_RATE_COMP_INCREASE_MAX_DOM">"c3444"</definedName>
    <definedName name="IQ_OPEB_PBO_RATE_COMP_INCREASE_MAX_FOREIGN">"c3445"</definedName>
    <definedName name="IQ_OPEB_PBO_RATE_COMP_INCREASE_MIN">"c3443"</definedName>
    <definedName name="IQ_OPEB_PBO_RATE_COMP_INCREASE_MIN_DOM">"c3441"</definedName>
    <definedName name="IQ_OPEB_PBO_RATE_COMP_INCREASE_MIN_FOREIGN">"c3442"</definedName>
    <definedName name="IQ_OPEB_PREPAID_COST">"c3305"</definedName>
    <definedName name="IQ_OPEB_PREPAID_COST_DOM">"c3303"</definedName>
    <definedName name="IQ_OPEB_PREPAID_COST_FOREIGN">"c3304"</definedName>
    <definedName name="IQ_OPEB_PRIOR_SERVICE_NEXT">"c5777"</definedName>
    <definedName name="IQ_OPEB_PRIOR_SERVICE_NEXT_DOM">"c5775"</definedName>
    <definedName name="IQ_OPEB_PRIOR_SERVICE_NEXT_FOREIGN">"c5776"</definedName>
    <definedName name="IQ_OPEB_RATE_COMP_INCREASE_MAX">"c3428"</definedName>
    <definedName name="IQ_OPEB_RATE_COMP_INCREASE_MAX_DOM">"c3426"</definedName>
    <definedName name="IQ_OPEB_RATE_COMP_INCREASE_MAX_FOREIGN">"c3427"</definedName>
    <definedName name="IQ_OPEB_RATE_COMP_INCREASE_MIN">"c3425"</definedName>
    <definedName name="IQ_OPEB_RATE_COMP_INCREASE_MIN_DOM">"c3423"</definedName>
    <definedName name="IQ_OPEB_RATE_COMP_INCREASE_MIN_FOREIGN">"c3424"</definedName>
    <definedName name="IQ_OPEB_SERVICE_COST">"c3392"</definedName>
    <definedName name="IQ_OPEB_SERVICE_COST_DOM">"c3390"</definedName>
    <definedName name="IQ_OPEB_SERVICE_COST_FOREIGN">"c3391"</definedName>
    <definedName name="IQ_OPEB_TOTAL_COST">"c3404"</definedName>
    <definedName name="IQ_OPEB_TOTAL_COST_DOM">"c3402"</definedName>
    <definedName name="IQ_OPEB_TOTAL_COST_FOREIGN">"c3403"</definedName>
    <definedName name="IQ_OPEB_TRANSITION_NEXT">"c5780"</definedName>
    <definedName name="IQ_OPEB_TRANSITION_NEXT_DOM">"c5778"</definedName>
    <definedName name="IQ_OPEB_TRANSITION_NEXT_FOREIGN">"c5779"</definedName>
    <definedName name="IQ_OPEB_UNRECOG_PRIOR">"c3320"</definedName>
    <definedName name="IQ_OPEB_UNRECOG_PRIOR_DOM">"c3318"</definedName>
    <definedName name="IQ_OPEB_UNRECOG_PRIOR_FOREIGN">"c3319"</definedName>
    <definedName name="IQ_OPENED55">1</definedName>
    <definedName name="IQ_OPENPRICE">"c848"</definedName>
    <definedName name="IQ_OPER_INC">"c849"</definedName>
    <definedName name="IQ_OPER_INC_ACT_OR_EST">"c2220"</definedName>
    <definedName name="IQ_OPER_INC_ACT_OR_EST_CIQ">"c12019"</definedName>
    <definedName name="IQ_OPER_INC_BR">"c850"</definedName>
    <definedName name="IQ_OPER_INC_DET_EST">"c12064"</definedName>
    <definedName name="IQ_OPER_INC_DET_EST_CIQ">"c12128"</definedName>
    <definedName name="IQ_OPER_INC_DET_EST_CIQ_CURRENCY_CIQ">"c12519"</definedName>
    <definedName name="IQ_OPER_INC_DET_EST_CIQ_INCL_INCL_CIQ">"c12402"</definedName>
    <definedName name="IQ_OPER_INC_DET_EST_CURRENCY">"c12471"</definedName>
    <definedName name="IQ_OPER_INC_DET_EST_DATE">"c12217"</definedName>
    <definedName name="IQ_OPER_INC_DET_EST_DATE_CIQ">"c12274"</definedName>
    <definedName name="IQ_OPER_INC_DET_EST_INCL">"c12354"</definedName>
    <definedName name="IQ_OPER_INC_DET_EST_ORIGIN">"c12589"</definedName>
    <definedName name="IQ_OPER_INC_DET_EST_ORIGIN_CIQ">"c12643"</definedName>
    <definedName name="IQ_OPER_INC_EST">"c1688"</definedName>
    <definedName name="IQ_OPER_INC_EST_CIQ">"c12010"</definedName>
    <definedName name="IQ_OPER_INC_FIN">"c851"</definedName>
    <definedName name="IQ_OPER_INC_HIGH_EST">"c1690"</definedName>
    <definedName name="IQ_OPER_INC_HIGH_EST_CIQ">"c12012"</definedName>
    <definedName name="IQ_OPER_INC_INS">"c852"</definedName>
    <definedName name="IQ_OPER_INC_LOW_EST">"c1691"</definedName>
    <definedName name="IQ_OPER_INC_LOW_EST_CIQ">"c12013"</definedName>
    <definedName name="IQ_OPER_INC_MARGIN">"c1448"</definedName>
    <definedName name="IQ_OPER_INC_MEDIAN_EST">"c1689"</definedName>
    <definedName name="IQ_OPER_INC_MEDIAN_EST_CIQ">"c12011"</definedName>
    <definedName name="IQ_OPER_INC_NUM_EST">"c1692"</definedName>
    <definedName name="IQ_OPER_INC_NUM_EST_CIQ">"c12014"</definedName>
    <definedName name="IQ_OPER_INC_RE">"c6240"</definedName>
    <definedName name="IQ_OPER_INC_REIT">"c853"</definedName>
    <definedName name="IQ_OPER_INC_STDDEV_EST">"c1693"</definedName>
    <definedName name="IQ_OPER_INC_STDDEV_EST_CIQ">"c12015"</definedName>
    <definedName name="IQ_OPER_INC_UTI">"c854"</definedName>
    <definedName name="IQ_OPERATING_EXP_AVG_ASSETS_FFIEC">"c13373"</definedName>
    <definedName name="IQ_OPERATING_INC_AVG_ASSETS_FFIEC">"c13368"</definedName>
    <definedName name="IQ_OPERATING_INC_TE_AVG_ASSETS_FFIEC">"c13360"</definedName>
    <definedName name="IQ_OPERATIONS_EXP">"c855"</definedName>
    <definedName name="IQ_OPTIONS_BEG_OS">"c1572"</definedName>
    <definedName name="IQ_OPTIONS_CANCELLED">"c856"</definedName>
    <definedName name="IQ_OPTIONS_END_OS">"c1573"</definedName>
    <definedName name="IQ_OPTIONS_EXERCISABLE_END_OS">"c5804"</definedName>
    <definedName name="IQ_OPTIONS_EXERCISED">"c2116"</definedName>
    <definedName name="IQ_OPTIONS_GRANTED">"c2673"</definedName>
    <definedName name="IQ_OPTIONS_ISSUED">"c857"</definedName>
    <definedName name="IQ_OPTIONS_STRIKE_PRICE_BEG_OS">"c5805"</definedName>
    <definedName name="IQ_OPTIONS_STRIKE_PRICE_CANCELLED">"c5807"</definedName>
    <definedName name="IQ_OPTIONS_STRIKE_PRICE_EXERCISABLE">"c5808"</definedName>
    <definedName name="IQ_OPTIONS_STRIKE_PRICE_EXERCISED">"c5806"</definedName>
    <definedName name="IQ_OPTIONS_STRIKE_PRICE_GRANTED">"c2678"</definedName>
    <definedName name="IQ_OPTIONS_STRIKE_PRICE_OS">"c2677"</definedName>
    <definedName name="IQ_ORDER_BACKLOG">"c2090"</definedName>
    <definedName name="IQ_OREO_1_4_RESIDENTIAL_FDIC">"c6454"</definedName>
    <definedName name="IQ_OREO_COMMERCIAL_RE_FDIC">"c6456"</definedName>
    <definedName name="IQ_OREO_CONSTRUCTION_DEVELOPMENT_FDIC">"c6457"</definedName>
    <definedName name="IQ_OREO_FARMLAND_FDIC">"c6458"</definedName>
    <definedName name="IQ_OREO_FFIEC">"c12831"</definedName>
    <definedName name="IQ_OREO_FOREIGN_FDIC">"c6460"</definedName>
    <definedName name="IQ_OREO_FOREIGN_FFIEC">"c15273"</definedName>
    <definedName name="IQ_OREO_MULTI_FAMILY_RESIDENTIAL_FDIC">"c6455"</definedName>
    <definedName name="IQ_OREO_OTHER_FFIEC">"c12833"</definedName>
    <definedName name="IQ_OTHER_ADDITIONS_T1_FFIEC">"c13142"</definedName>
    <definedName name="IQ_OTHER_ADDITIONS_T2_FFIEC">"c13148"</definedName>
    <definedName name="IQ_OTHER_ADJUST_GROSS_LOANS">"c859"</definedName>
    <definedName name="IQ_OTHER_ADJUSTMENTS_COVERED">"c9961"</definedName>
    <definedName name="IQ_OTHER_ADJUSTMENTS_FFIEC">"c12972"</definedName>
    <definedName name="IQ_OTHER_ADJUSTMENTS_GROUP">"c9947"</definedName>
    <definedName name="IQ_OTHER_AMORT">"c5563"</definedName>
    <definedName name="IQ_OTHER_AMORT_BNK">"c5565"</definedName>
    <definedName name="IQ_OTHER_AMORT_BR">"c5566"</definedName>
    <definedName name="IQ_OTHER_AMORT_FIN">"c5567"</definedName>
    <definedName name="IQ_OTHER_AMORT_INS">"c5568"</definedName>
    <definedName name="IQ_OTHER_AMORT_RE">"c6287"</definedName>
    <definedName name="IQ_OTHER_AMORT_REIT">"c5569"</definedName>
    <definedName name="IQ_OTHER_AMORT_UTI">"c5570"</definedName>
    <definedName name="IQ_OTHER_ASSETS">"c860"</definedName>
    <definedName name="IQ_OTHER_ASSETS_BNK">"c861"</definedName>
    <definedName name="IQ_OTHER_ASSETS_BR">"c862"</definedName>
    <definedName name="IQ_OTHER_ASSETS_FDIC">"c6338"</definedName>
    <definedName name="IQ_OTHER_ASSETS_FFIEC">"c12848"</definedName>
    <definedName name="IQ_OTHER_ASSETS_FIN">"c863"</definedName>
    <definedName name="IQ_OTHER_ASSETS_INS">"c864"</definedName>
    <definedName name="IQ_OTHER_ASSETS_RE">"c6241"</definedName>
    <definedName name="IQ_OTHER_ASSETS_REIT">"c865"</definedName>
    <definedName name="IQ_OTHER_ASSETS_SERV_RIGHTS">"c2243"</definedName>
    <definedName name="IQ_OTHER_ASSETS_TOTAL_FFIEC">"c12841"</definedName>
    <definedName name="IQ_OTHER_ASSETS_UTI">"c866"</definedName>
    <definedName name="IQ_OTHER_BEARING_LIAB">"c1608"</definedName>
    <definedName name="IQ_OTHER_BEDS">"c8784"</definedName>
    <definedName name="IQ_OTHER_BENEFITS_OBLIGATION">"c867"</definedName>
    <definedName name="IQ_OTHER_BORROWED_FUNDS_FDIC">"c6345"</definedName>
    <definedName name="IQ_OTHER_BORROWED_MONEY_FAIR_VALUE_TOT_FFIEC">"c15409"</definedName>
    <definedName name="IQ_OTHER_BORROWED_MONEY_FFIEC">"c12862"</definedName>
    <definedName name="IQ_OTHER_BORROWED_MONEY_LEVEL_1_FFIEC">"c15431"</definedName>
    <definedName name="IQ_OTHER_BORROWED_MONEY_LEVEL_2_FFIEC">"c15444"</definedName>
    <definedName name="IQ_OTHER_BORROWED_MONEY_LEVEL_3_FFIEC">"c15457"</definedName>
    <definedName name="IQ_OTHER_BORROWED_MONEY_LT_FFIEC">"c12865"</definedName>
    <definedName name="IQ_OTHER_BORROWED_MONEY_ST_FFIEC">"c12864"</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"c6242"</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INS">"c6021"</definedName>
    <definedName name="IQ_OTHER_CL_SUPPL_RE">"c6243"</definedName>
    <definedName name="IQ_OTHER_CL_SUPPL_REIT">"c882"</definedName>
    <definedName name="IQ_OTHER_CL_SUPPL_UTI">"c883"</definedName>
    <definedName name="IQ_OTHER_CL_UTI">"c884"</definedName>
    <definedName name="IQ_OTHER_COMPREHENSIVE_INCOME_FDIC">"c6503"</definedName>
    <definedName name="IQ_OTHER_COMPREHENSIVE_INCOME_FFIEC">"c12970"</definedName>
    <definedName name="IQ_OTHER_CONSTRUCTION_GROSS_LOANS_FFIEC">"c13403"</definedName>
    <definedName name="IQ_OTHER_CONSTRUCTION_LOANS_DUE_30_89_FFIEC">"c13258"</definedName>
    <definedName name="IQ_OTHER_CONSTRUCTION_LOANS_DUE_90_FFIEC">"c13286"</definedName>
    <definedName name="IQ_OTHER_CONSTRUCTION_LOANS_NON_ACCRUAL_FFIEC">"c13312"</definedName>
    <definedName name="IQ_OTHER_CONSTRUCTION_LOANS_UNUSED_FFIEC">"c13245"</definedName>
    <definedName name="IQ_OTHER_CONSTRUCTION_RISK_BASED_FFIEC">"c13424"</definedName>
    <definedName name="IQ_OTHER_CONSUMER_LL_REC_FFIEC">"c12891"</definedName>
    <definedName name="IQ_OTHER_CONSUMER_LOANS_FFIEC">"c12824"</definedName>
    <definedName name="IQ_OTHER_CONSUMER_LOANS_TRADING_DOM_FFIEC">"c12935"</definedName>
    <definedName name="IQ_OTHER_CURRENT_ASSETS">"c1403"</definedName>
    <definedName name="IQ_OTHER_CURRENT_LIAB">"c1404"</definedName>
    <definedName name="IQ_OTHER_DEBT">"c2507"</definedName>
    <definedName name="IQ_OTHER_DEBT_PCT">"c2508"</definedName>
    <definedName name="IQ_OTHER_DEBT_SEC_DOM_AVAIL_SALE_FFIEC">"c12803"</definedName>
    <definedName name="IQ_OTHER_DEBT_SEC_FOREIGN_AVAIL_SALE_FFIEC">"c12804"</definedName>
    <definedName name="IQ_OTHER_DEBT_SEC_INVEST_SECURITIES_FFIEC">"c13462"</definedName>
    <definedName name="IQ_OTHER_DEBT_SEC_TRADING_DOM_FFIEC">"c12924"</definedName>
    <definedName name="IQ_OTHER_DEBT_SEC_TRADING_FFIEC">"c12819"</definedName>
    <definedName name="IQ_OTHER_DEBT_SECURITIES_DOM_FFIEC">"c12789"</definedName>
    <definedName name="IQ_OTHER_DEBT_SECURITIES_FOREIGN_FFIEC">"c12790"</definedName>
    <definedName name="IQ_OTHER_DEBT_SECURITIES_QUARTERLY_AVG_FFIEC">"c15473"</definedName>
    <definedName name="IQ_OTHER_DEDUCTIONS_LEVERAGE_RATIO_FFIEC">"c13158"</definedName>
    <definedName name="IQ_OTHER_DEP">"c885"</definedName>
    <definedName name="IQ_OTHER_DEPOSITORY_INSTITUTIONS_LOANS_FDIC">"c6436"</definedName>
    <definedName name="IQ_OTHER_DEPOSITORY_INSTITUTIONS_TOTAL_LOANS_FOREIGN_FDIC">"c6442"</definedName>
    <definedName name="IQ_OTHER_DEPOSITS_FFIEC">"c12994"</definedName>
    <definedName name="IQ_OTHER_DERIVATIVES_BENEFICIARY_FFIEC">"c13122"</definedName>
    <definedName name="IQ_OTHER_DERIVATIVES_GUARANTOR_FFIEC">"c13115"</definedName>
    <definedName name="IQ_OTHER_DOMESTIC_DEBT_SECURITIES_FDIC">"c6302"</definedName>
    <definedName name="IQ_OTHER_EARNING">"c1609"</definedName>
    <definedName name="IQ_OTHER_EQUITY">"c886"</definedName>
    <definedName name="IQ_OTHER_EQUITY_BNK">"c887"</definedName>
    <definedName name="IQ_OTHER_EQUITY_BR">"c888"</definedName>
    <definedName name="IQ_OTHER_EQUITY_CAPITAL_COMPS_FFIEC">"c12880"</definedName>
    <definedName name="IQ_OTHER_EQUITY_FFIEC">"c12879"</definedName>
    <definedName name="IQ_OTHER_EQUITY_FIN">"c889"</definedName>
    <definedName name="IQ_OTHER_EQUITY_INS">"c890"</definedName>
    <definedName name="IQ_OTHER_EQUITY_RE">"c6244"</definedName>
    <definedName name="IQ_OTHER_EQUITY_REIT">"c891"</definedName>
    <definedName name="IQ_OTHER_EQUITY_UTI">"c892"</definedName>
    <definedName name="IQ_OTHER_EXP_OPERATING_INC_FFIEC">"c13381"</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"c6245"</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"c6246"</definedName>
    <definedName name="IQ_OTHER_FINANCE_ACT_SUPPL_REIT">"c904"</definedName>
    <definedName name="IQ_OTHER_FINANCE_ACT_SUPPL_UTI">"c905"</definedName>
    <definedName name="IQ_OTHER_FINANCE_ACT_UTI">"c906"</definedName>
    <definedName name="IQ_OTHER_FOREIGN_LOANS_FOREIGN_FFIEC">"c13482"</definedName>
    <definedName name="IQ_OTHER_IBF_DEPOSIT_LIABILITIES_FFIEC">"c15301"</definedName>
    <definedName name="IQ_OTHER_INDIVIDUAL_FAMILY_DOM_QUARTERLY_AVG_FFIEC">"c15481"</definedName>
    <definedName name="IQ_OTHER_INSURANCE_FEES_FDIC">"c6672"</definedName>
    <definedName name="IQ_OTHER_INSURANCE_PREMIUMS_FFIEC">"c13071"</definedName>
    <definedName name="IQ_OTHER_INT_EXPENSE_FFIEC">"c12999"</definedName>
    <definedName name="IQ_OTHER_INT_INCOME_FFIEC">"c12988"</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"c6247"</definedName>
    <definedName name="IQ_OTHER_INTAN_REIT">"c912"</definedName>
    <definedName name="IQ_OTHER_INTAN_UTI">"c913"</definedName>
    <definedName name="IQ_OTHER_INTANGIBLE_ASSETS_FFIEC">"c12837"</definedName>
    <definedName name="IQ_OTHER_INTANGIBLE_ASSETS_TOT_FFIEC">"c12840"</definedName>
    <definedName name="IQ_OTHER_INTANGIBLE_FDIC">"c6337"</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"c6248"</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"c6249"</definedName>
    <definedName name="IQ_OTHER_INVEST_ACT_SUPPL_REIT">"c927"</definedName>
    <definedName name="IQ_OTHER_INVEST_ACT_SUPPL_UTI">"c928"</definedName>
    <definedName name="IQ_OTHER_INVEST_ACT_UTI">"c929"</definedName>
    <definedName name="IQ_OTHER_INVESTING">"c1408"</definedName>
    <definedName name="IQ_OTHER_LEASES_DUE_30_89_FFIEC">"c13278"</definedName>
    <definedName name="IQ_OTHER_LEASES_DUE_90_FFIEC">"c13304"</definedName>
    <definedName name="IQ_OTHER_LEASES_LL_REC_FFIEC">"c12896"</definedName>
    <definedName name="IQ_OTHER_LEASES_NON_ACCRUAL_FFIEC">"c13330"</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"c6250"</definedName>
    <definedName name="IQ_OTHER_LIAB_LT_REIT">"c940"</definedName>
    <definedName name="IQ_OTHER_LIAB_LT_UTI">"c941"</definedName>
    <definedName name="IQ_OTHER_LIAB_RE">"c6251"</definedName>
    <definedName name="IQ_OTHER_LIAB_REIT">"c942"</definedName>
    <definedName name="IQ_OTHER_LIAB_UTI">"c943"</definedName>
    <definedName name="IQ_OTHER_LIAB_WRITTEN">"c944"</definedName>
    <definedName name="IQ_OTHER_LIABILITIES_FDIC">"c6347"</definedName>
    <definedName name="IQ_OTHER_LIABILITIES_FFIEC">"c12872"</definedName>
    <definedName name="IQ_OTHER_LIABILITIES_TOTAL_FFIEC">"c12869"</definedName>
    <definedName name="IQ_OTHER_LL_REC_FFIEC">"c12894"</definedName>
    <definedName name="IQ_OTHER_LOANS">"c945"</definedName>
    <definedName name="IQ_OTHER_LOANS_CHARGE_OFFS_FDIC">"c6601"</definedName>
    <definedName name="IQ_OTHER_LOANS_DUE_30_89_FFIEC">"c13275"</definedName>
    <definedName name="IQ_OTHER_LOANS_DUE_90_FFIEC">"c13301"</definedName>
    <definedName name="IQ_OTHER_LOANS_FFIEC">"c12825"</definedName>
    <definedName name="IQ_OTHER_LOANS_FOREIGN_FDIC">"c6446"</definedName>
    <definedName name="IQ_OTHER_LOANS_GROSS_LOANS_FFIEC">"c13414"</definedName>
    <definedName name="IQ_OTHER_LOANS_INDIVIDUALS_CHARGE_OFFS_FFIEC">"c13181"</definedName>
    <definedName name="IQ_OTHER_LOANS_INDIVIDUALS_DUE_30_89_FFIEC">"c13273"</definedName>
    <definedName name="IQ_OTHER_LOANS_INDIVIDUALS_DUE_90_FFIEC">"c13299"</definedName>
    <definedName name="IQ_OTHER_LOANS_INDIVIDUALS_NON_ACCRUAL_FFIEC">"c13325"</definedName>
    <definedName name="IQ_OTHER_LOANS_INDIVIDUALS_RECOV_FFIEC">"c13203"</definedName>
    <definedName name="IQ_OTHER_LOANS_LEASES_FDIC">"c6322"</definedName>
    <definedName name="IQ_OTHER_LOANS_LL_REC_DOM_FFIEC">"c12914"</definedName>
    <definedName name="IQ_OTHER_LOANS_NET_CHARGE_OFFS_FDIC">"c6639"</definedName>
    <definedName name="IQ_OTHER_LOANS_NON_ACCRUAL_FFIEC">"c13327"</definedName>
    <definedName name="IQ_OTHER_LOANS_RECOVERIES_FDIC">"c6620"</definedName>
    <definedName name="IQ_OTHER_LOANS_RISK_BASED_FFIEC">"c13435"</definedName>
    <definedName name="IQ_OTHER_LOANS_TOTAL_FDIC">"c6432"</definedName>
    <definedName name="IQ_OTHER_LOANS_TRADING_DOM_FFIEC">"c12936"</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"c6252"</definedName>
    <definedName name="IQ_OTHER_LT_ASSETS_REIT">"c951"</definedName>
    <definedName name="IQ_OTHER_LT_ASSETS_UTI">"c952"</definedName>
    <definedName name="IQ_OTHER_MBS_AVAIL_SALE_FFIEC">"c12801"</definedName>
    <definedName name="IQ_OTHER_MBS_FFIEC">"c12787"</definedName>
    <definedName name="IQ_OTHER_MBS_ISSUED_FNMA_GNMA_TRADING_DOM_FFIEC">"c12922"</definedName>
    <definedName name="IQ_OTHER_MBS_ISSUED_FNMA_GNMA_TRADING_FFIEC">"c12817"</definedName>
    <definedName name="IQ_OTHER_MBS_TRADING_DOM_FFIEC">"c12923"</definedName>
    <definedName name="IQ_OTHER_MBS_TRADING_FFIEC">"c12818"</definedName>
    <definedName name="IQ_OTHER_NET">"c1453"</definedName>
    <definedName name="IQ_OTHER_NON_INT_ALLOCATIONS_FFIEC">"c13065"</definedName>
    <definedName name="IQ_OTHER_NON_INT_EXP">"c953"</definedName>
    <definedName name="IQ_OTHER_NON_INT_EXP_FDIC">"c6578"</definedName>
    <definedName name="IQ_OTHER_NON_INT_EXP_FFIEC">"c13027"</definedName>
    <definedName name="IQ_OTHER_NON_INT_EXP_TOTAL">"c954"</definedName>
    <definedName name="IQ_OTHER_NON_INT_EXPENSE_FDIC">"c6679"</definedName>
    <definedName name="IQ_OTHER_NON_INT_INC">"c955"</definedName>
    <definedName name="IQ_OTHER_NON_INT_INC_FDIC">"c6676"</definedName>
    <definedName name="IQ_OTHER_NON_INT_INC_OPERATING_INC_FFIEC">"c13392"</definedName>
    <definedName name="IQ_OTHER_NON_INT_INCOME_FFIEC">"c13016"</definedName>
    <definedName name="IQ_OTHER_NON_OPER_EXP">"c956"</definedName>
    <definedName name="IQ_OTHER_NON_OPER_EXP_BR">"c957"</definedName>
    <definedName name="IQ_OTHER_NON_OPER_EXP_FIN">"c958"</definedName>
    <definedName name="IQ_OTHER_NON_OPER_EXP_INS">"c959"</definedName>
    <definedName name="IQ_OTHER_NON_OPER_EXP_RE">"c6253"</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"c6254"</definedName>
    <definedName name="IQ_OTHER_NON_OPER_EXP_SUPPL_REIT">"c965"</definedName>
    <definedName name="IQ_OTHER_NON_OPER_EXP_SUPPL_UTI">"c966"</definedName>
    <definedName name="IQ_OTHER_NON_OPER_EXP_UTI">"c967"</definedName>
    <definedName name="IQ_OTHER_NONFARM_NONRES_GROSS_LOANS_FFIEC">"c13407"</definedName>
    <definedName name="IQ_OTHER_NONFARM_NONRES_LL_REC_DOM_FFIEC">"c12907"</definedName>
    <definedName name="IQ_OTHER_NONFARM_NONRES_RISK_BASED_FFIEC">"c13428"</definedName>
    <definedName name="IQ_OTHER_NONINTEREST_INC_FOREIGN_FFIEC">"c15380"</definedName>
    <definedName name="IQ_OTHER_OFF_BS_ITEMS_FFIEC">"c13126"</definedName>
    <definedName name="IQ_OTHER_OFF_BS_LIAB_FDIC">"c6533"</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"c6255"</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"c6256"</definedName>
    <definedName name="IQ_OTHER_OPER_REIT">"c993"</definedName>
    <definedName name="IQ_OTHER_OPER_SUPPL_BR">"c994"</definedName>
    <definedName name="IQ_OTHER_OPER_SUPPL_FIN">"c995"</definedName>
    <definedName name="IQ_OTHER_OPER_SUPPL_INS">"c996"</definedName>
    <definedName name="IQ_OTHER_OPER_SUPPL_RE">"c6257"</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"c6258"</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ABLE_END_OS">"c5814"</definedName>
    <definedName name="IQ_OTHER_OPTIONS_EXERCISED">"c2688"</definedName>
    <definedName name="IQ_OTHER_OPTIONS_GRANTED">"c2687"</definedName>
    <definedName name="IQ_OTHER_OPTIONS_STRIKE_PRICE_BEG_OS">"c5815"</definedName>
    <definedName name="IQ_OTHER_OPTIONS_STRIKE_PRICE_CANCELLED">"c5817"</definedName>
    <definedName name="IQ_OTHER_OPTIONS_STRIKE_PRICE_EXERCISABLE">"c5818"</definedName>
    <definedName name="IQ_OTHER_OPTIONS_STRIKE_PRICE_EXERCISED">"c5816"</definedName>
    <definedName name="IQ_OTHER_OPTIONS_STRIKE_PRICE_OS">"c2691"</definedName>
    <definedName name="IQ_OTHER_OUTSTANDING_BS_DATE">"c1972"</definedName>
    <definedName name="IQ_OTHER_OUTSTANDING_FILING_DATE">"c1974"</definedName>
    <definedName name="IQ_OTHER_OVER_TOTAL">"c13770"</definedName>
    <definedName name="IQ_OTHER_PC_WRITTEN">"c1006"</definedName>
    <definedName name="IQ_OTHER_PROP">"c8764"</definedName>
    <definedName name="IQ_OTHER_RE_OWNED_FDIC">"c6330"</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"c6259"</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"c6260"</definedName>
    <definedName name="IQ_OTHER_REV_SUPPL_REIT">"c1019"</definedName>
    <definedName name="IQ_OTHER_REV_SUPPL_UTI">"c1020"</definedName>
    <definedName name="IQ_OTHER_REV_UTI">"c1021"</definedName>
    <definedName name="IQ_OTHER_REVENUE">"c1410"</definedName>
    <definedName name="IQ_OTHER_REVOL_CREDIT_CONSUMER_LOANS_FFIEC">"c12823"</definedName>
    <definedName name="IQ_OTHER_REVOLVING_CREDIT_LL_REC_FFIEC">"c12890"</definedName>
    <definedName name="IQ_OTHER_REVOLVING_CREDIT_LOANS_TRADING_DOM_FFIEC">"c12934"</definedName>
    <definedName name="IQ_OTHER_ROOMS">"c8788"</definedName>
    <definedName name="IQ_OTHER_SAVINGS_DEPOSITS_FDIC">"c6554"</definedName>
    <definedName name="IQ_OTHER_SAVINGS_DEPOSITS_NON_TRANS_ACCTS_FFIEC">"c15331"</definedName>
    <definedName name="IQ_OTHER_SECURITIES_QUARTERLY_AVG_FFIEC">"c15472"</definedName>
    <definedName name="IQ_OTHER_SQ_FT">"c8780"</definedName>
    <definedName name="IQ_OTHER_STRIKE_PRICE_GRANTED">"c2692"</definedName>
    <definedName name="IQ_OTHER_TAX_EQUIVALENT_ADJUSTMENTS_FFIEC">"c13855"</definedName>
    <definedName name="IQ_OTHER_TRADING_ASSETS_FAIR_VALUE_TOT_FFIEC">"c15404"</definedName>
    <definedName name="IQ_OTHER_TRADING_ASSETS_FFIEC">"c12826"</definedName>
    <definedName name="IQ_OTHER_TRADING_ASSETS_LEVEL_1_FFIEC">"c15426"</definedName>
    <definedName name="IQ_OTHER_TRADING_ASSETS_LEVEL_2_FFIEC">"c15439"</definedName>
    <definedName name="IQ_OTHER_TRADING_ASSETS_LEVEL_3_FFIEC">"c15452"</definedName>
    <definedName name="IQ_OTHER_TRADING_ASSETS_TOTAL_FFIEC">"c12937"</definedName>
    <definedName name="IQ_OTHER_TRADING_LIABILITIES_FAIR_VALUE_TOT_FFIEC">"c15408"</definedName>
    <definedName name="IQ_OTHER_TRADING_LIABILITIES_FFIEC">"c12860"</definedName>
    <definedName name="IQ_OTHER_TRADING_LIABILITIES_LEVEL_1_FFIEC">"c15430"</definedName>
    <definedName name="IQ_OTHER_TRADING_LIABILITIES_LEVEL_2_FFIEC">"c15443"</definedName>
    <definedName name="IQ_OTHER_TRADING_LIABILITIES_LEVEL_3_FFIEC">"c15456"</definedName>
    <definedName name="IQ_OTHER_TRANSACTIONS_FDIC">"c6504"</definedName>
    <definedName name="IQ_OTHER_UNDRAWN">"c2522"</definedName>
    <definedName name="IQ_OTHER_UNITS">"c8772"</definedName>
    <definedName name="IQ_OTHER_UNUSED_COMMITMENTS_FDIC">"c6530"</definedName>
    <definedName name="IQ_OTHER_UNUSED_FFIEC">"c13248"</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"c6282"</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"c6281"</definedName>
    <definedName name="IQ_OTHER_UNUSUAL_SUPPL_REIT">"c1499"</definedName>
    <definedName name="IQ_OTHER_UNUSUAL_SUPPL_UTI">"c1500"</definedName>
    <definedName name="IQ_OTHER_UNUSUAL_SUPPLE">"c13816"</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"c1023"</definedName>
    <definedName name="IQ_OVER_FIFETEEN_YEAR_MORTGAGE_PASS_THROUGHS_FDIC">"c6416"</definedName>
    <definedName name="IQ_OVER_FIFTEEN_YEAR_FIXED_AND_FLOATING_RATE_FDIC">"c6424"</definedName>
    <definedName name="IQ_OVER_THREE_YEARS_FDIC">"c6418"</definedName>
    <definedName name="IQ_OVERHEAD_EXP_AVG_ASSETS_FFIEC">"c13361"</definedName>
    <definedName name="IQ_OVERHEAD_EXP_REV_FFIEC">"c13494"</definedName>
    <definedName name="IQ_OVERHEAD_NON_INT_INC_AVG_ASSETS_FFIEC">"c13374"</definedName>
    <definedName name="IQ_OVERHEAD_NON_INT_OPERATING_INC_FFIEC">"c13393"</definedName>
    <definedName name="IQ_OVERHEAD_OPERATING_INC_FFIEC">"c13378"</definedName>
    <definedName name="IQ_OWNER_OCCUPIED_GROSS_LOANS_FFIEC">"c13406"</definedName>
    <definedName name="IQ_OWNER_OCCUPIED_LOANS_RISK_BASED_FFIEC">"c13427"</definedName>
    <definedName name="IQ_OWNER_OCCUPIED_NONFARM_NONRES_LL_REC_DOM_FFIEC">"c12906"</definedName>
    <definedName name="IQ_OWNERSHIP">"c2160"</definedName>
    <definedName name="IQ_PART_TIME">"c1024"</definedName>
    <definedName name="IQ_PARTICIPATION_POOLS_RESIDENTIAL_MORTGAGES_FDIC">"c6403"</definedName>
    <definedName name="IQ_PARTICIPATIONS_ACCEPTANCES_FFIEC">"c13254"</definedName>
    <definedName name="IQ_PARTNERSHIP_INC_RE">"c12039"</definedName>
    <definedName name="IQ_PASS_THROUGH_FNMA_GNMA_TRADING_FFIEC">"c12816"</definedName>
    <definedName name="IQ_PAST_DUE_30_1_4_FAMILY_LOANS_FDIC">"c6693"</definedName>
    <definedName name="IQ_PAST_DUE_30_AUTO_LOANS_FDIC">"c6687"</definedName>
    <definedName name="IQ_PAST_DUE_30_CL_LOANS_FDIC">"c6688"</definedName>
    <definedName name="IQ_PAST_DUE_30_CREDIT_CARDS_RECEIVABLES_FDIC">"c6690"</definedName>
    <definedName name="IQ_PAST_DUE_30_HOME_EQUITY_LINES_FDIC">"c6691"</definedName>
    <definedName name="IQ_PAST_DUE_30_OTHER_CONSUMER_LOANS_FDIC">"c6689"</definedName>
    <definedName name="IQ_PAST_DUE_30_OTHER_LOANS_FDIC">"c6692"</definedName>
    <definedName name="IQ_PAST_DUE_90_1_4_FAMILY_LOANS_FDIC">"c6700"</definedName>
    <definedName name="IQ_PAST_DUE_90_AUTO_LOANS_FDIC">"c6694"</definedName>
    <definedName name="IQ_PAST_DUE_90_CL_LOANS_FDIC">"c6695"</definedName>
    <definedName name="IQ_PAST_DUE_90_CREDIT_CARDS_RECEIVABLES_FDIC">"c6697"</definedName>
    <definedName name="IQ_PAST_DUE_90_HOME_EQUITY_LINES_FDIC">"c6698"</definedName>
    <definedName name="IQ_PAST_DUE_90_OTHER_CONSUMER_LOANS_FDIC">"c6696"</definedName>
    <definedName name="IQ_PAST_DUE_90_OTHER_LOANS_FDIC">"c6699"</definedName>
    <definedName name="IQ_PAST_DUE_ALLOW_GROSS_LOANS_FFIEC">"c13416"</definedName>
    <definedName name="IQ_PAY_ACCRUED">"c1457"</definedName>
    <definedName name="IQ_PAYOUT_RATIO">"c1900"</definedName>
    <definedName name="IQ_PBV">"c1025"</definedName>
    <definedName name="IQ_PBV_AVG">"c1026"</definedName>
    <definedName name="IQ_PBV_FWD">"c15235"</definedName>
    <definedName name="IQ_PBV_FWD_CIQ">"c15236"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EXCL_FWD">"c1030"</definedName>
    <definedName name="IQ_PE_EXCL_FWD_CIQ">"c4042"</definedName>
    <definedName name="IQ_PE_NORMALIZED">"c2207"</definedName>
    <definedName name="IQ_PE_RATIO">"c1610"</definedName>
    <definedName name="IQ_PEG_FWD">"c1863"</definedName>
    <definedName name="IQ_PEG_FWD_CIQ">"c4045"</definedName>
    <definedName name="IQ_PENSION">"c1031"</definedName>
    <definedName name="IQ_PENSION_ACCRUED_LIAB">"c3134"</definedName>
    <definedName name="IQ_PENSION_ACCRUED_LIAB_DOM">"c3132"</definedName>
    <definedName name="IQ_PENSION_ACCRUED_LIAB_FOREIGN">"c3133"</definedName>
    <definedName name="IQ_PENSION_ACCUM_OTHER_CI">"c3140"</definedName>
    <definedName name="IQ_PENSION_ACCUM_OTHER_CI_DOM">"c3138"</definedName>
    <definedName name="IQ_PENSION_ACCUM_OTHER_CI_FOREIGN">"c3139"</definedName>
    <definedName name="IQ_PENSION_ACCUMULATED_OBLIGATION">"c3570"</definedName>
    <definedName name="IQ_PENSION_ACCUMULATED_OBLIGATION_DOMESTIC">"c3568"</definedName>
    <definedName name="IQ_PENSION_ACCUMULATED_OBLIGATION_FOREIGN">"c3569"</definedName>
    <definedName name="IQ_PENSION_ACT_NEXT">"c5738"</definedName>
    <definedName name="IQ_PENSION_ACT_NEXT_DOM">"c5736"</definedName>
    <definedName name="IQ_PENSION_ACT_NEXT_FOREIGN">"c5737"</definedName>
    <definedName name="IQ_PENSION_AMT_RECOG_NEXT_DOM">"c5745"</definedName>
    <definedName name="IQ_PENSION_AMT_RECOG_NEXT_FOREIGN">"c5746"</definedName>
    <definedName name="IQ_PENSION_AMT_RECOG_PERIOD">"c5747"</definedName>
    <definedName name="IQ_PENSION_ASSETS">"c3182"</definedName>
    <definedName name="IQ_PENSION_ASSETS_ACQ">"c3173"</definedName>
    <definedName name="IQ_PENSION_ASSETS_ACQ_DOM">"c3171"</definedName>
    <definedName name="IQ_PENSION_ASSETS_ACQ_FOREIGN">"c3172"</definedName>
    <definedName name="IQ_PENSION_ASSETS_ACTUAL_RETURN">"c3158"</definedName>
    <definedName name="IQ_PENSION_ASSETS_ACTUAL_RETURN_DOM">"c3156"</definedName>
    <definedName name="IQ_PENSION_ASSETS_ACTUAL_RETURN_FOREIGN">"c3157"</definedName>
    <definedName name="IQ_PENSION_ASSETS_BEG">"c3155"</definedName>
    <definedName name="IQ_PENSION_ASSETS_BEG_DOM">"c3153"</definedName>
    <definedName name="IQ_PENSION_ASSETS_BEG_FOREIGN">"c3154"</definedName>
    <definedName name="IQ_PENSION_ASSETS_BENEFITS_PAID">"c3167"</definedName>
    <definedName name="IQ_PENSION_ASSETS_BENEFITS_PAID_DOM">"c3165"</definedName>
    <definedName name="IQ_PENSION_ASSETS_BENEFITS_PAID_FOREIGN">"c3166"</definedName>
    <definedName name="IQ_PENSION_ASSETS_CURTAIL">"c3176"</definedName>
    <definedName name="IQ_PENSION_ASSETS_CURTAIL_DOM">"c3174"</definedName>
    <definedName name="IQ_PENSION_ASSETS_CURTAIL_FOREIGN">"c3175"</definedName>
    <definedName name="IQ_PENSION_ASSETS_DOM">"c3180"</definedName>
    <definedName name="IQ_PENSION_ASSETS_EMPLOYER_CONTRIBUTIONS">"c3161"</definedName>
    <definedName name="IQ_PENSION_ASSETS_EMPLOYER_CONTRIBUTIONS_DOM">"c3159"</definedName>
    <definedName name="IQ_PENSION_ASSETS_EMPLOYER_CONTRIBUTIONS_FOREIGN">"c3160"</definedName>
    <definedName name="IQ_PENSION_ASSETS_FOREIGN">"c3181"</definedName>
    <definedName name="IQ_PENSION_ASSETS_FX_ADJ">"c3170"</definedName>
    <definedName name="IQ_PENSION_ASSETS_FX_ADJ_DOM">"c3168"</definedName>
    <definedName name="IQ_PENSION_ASSETS_FX_ADJ_FOREIGN">"c3169"</definedName>
    <definedName name="IQ_PENSION_ASSETS_OTHER_PLAN_ADJ">"c3179"</definedName>
    <definedName name="IQ_PENSION_ASSETS_OTHER_PLAN_ADJ_DOM">"c3177"</definedName>
    <definedName name="IQ_PENSION_ASSETS_OTHER_PLAN_ADJ_FOREIGN">"c3178"</definedName>
    <definedName name="IQ_PENSION_ASSETS_PARTICIP_CONTRIBUTIONS">"c3164"</definedName>
    <definedName name="IQ_PENSION_ASSETS_PARTICIP_CONTRIBUTIONS_DOM">"c3162"</definedName>
    <definedName name="IQ_PENSION_ASSETS_PARTICIP_CONTRIBUTIONS_FOREIGN">"c3163"</definedName>
    <definedName name="IQ_PENSION_BENEFIT_INFO_DATE">"c3230"</definedName>
    <definedName name="IQ_PENSION_BENEFIT_INFO_DATE_DOM">"c3228"</definedName>
    <definedName name="IQ_PENSION_BENEFIT_INFO_DATE_FOREIGN">"c3229"</definedName>
    <definedName name="IQ_PENSION_BREAKDOWN_EQ">"c3101"</definedName>
    <definedName name="IQ_PENSION_BREAKDOWN_EQ_DOM">"c3099"</definedName>
    <definedName name="IQ_PENSION_BREAKDOWN_EQ_FOREIGN">"c3100"</definedName>
    <definedName name="IQ_PENSION_BREAKDOWN_FI">"c3104"</definedName>
    <definedName name="IQ_PENSION_BREAKDOWN_FI_DOM">"c3102"</definedName>
    <definedName name="IQ_PENSION_BREAKDOWN_FI_FOREIGN">"c3103"</definedName>
    <definedName name="IQ_PENSION_BREAKDOWN_OTHER">"c3110"</definedName>
    <definedName name="IQ_PENSION_BREAKDOWN_OTHER_DOM">"c3108"</definedName>
    <definedName name="IQ_PENSION_BREAKDOWN_OTHER_FOREIGN">"c3109"</definedName>
    <definedName name="IQ_PENSION_BREAKDOWN_PCT_EQ">"c3089"</definedName>
    <definedName name="IQ_PENSION_BREAKDOWN_PCT_EQ_DOM">"c3087"</definedName>
    <definedName name="IQ_PENSION_BREAKDOWN_PCT_EQ_FOREIGN">"c3088"</definedName>
    <definedName name="IQ_PENSION_BREAKDOWN_PCT_FI">"c3092"</definedName>
    <definedName name="IQ_PENSION_BREAKDOWN_PCT_FI_DOM">"c3090"</definedName>
    <definedName name="IQ_PENSION_BREAKDOWN_PCT_FI_FOREIGN">"c3091"</definedName>
    <definedName name="IQ_PENSION_BREAKDOWN_PCT_OTHER">"c3098"</definedName>
    <definedName name="IQ_PENSION_BREAKDOWN_PCT_OTHER_DOM">"c3096"</definedName>
    <definedName name="IQ_PENSION_BREAKDOWN_PCT_OTHER_FOREIGN">"c3097"</definedName>
    <definedName name="IQ_PENSION_BREAKDOWN_PCT_RE">"c3095"</definedName>
    <definedName name="IQ_PENSION_BREAKDOWN_PCT_RE_DOM">"c3093"</definedName>
    <definedName name="IQ_PENSION_BREAKDOWN_PCT_RE_FOREIGN">"c3094"</definedName>
    <definedName name="IQ_PENSION_BREAKDOWN_RE">"c3107"</definedName>
    <definedName name="IQ_PENSION_BREAKDOWN_RE_DOM">"c3105"</definedName>
    <definedName name="IQ_PENSION_BREAKDOWN_RE_FOREIGN">"c3106"</definedName>
    <definedName name="IQ_PENSION_CI_ACT">"c5723"</definedName>
    <definedName name="IQ_PENSION_CI_ACT_DOM">"c5721"</definedName>
    <definedName name="IQ_PENSION_CI_ACT_FOREIGN">"c5722"</definedName>
    <definedName name="IQ_PENSION_CI_NET_AMT_RECOG">"c5735"</definedName>
    <definedName name="IQ_PENSION_CI_NET_AMT_RECOG_DOM">"c5733"</definedName>
    <definedName name="IQ_PENSION_CI_NET_AMT_RECOG_FOREIGN">"c5734"</definedName>
    <definedName name="IQ_PENSION_CI_OTHER_MISC_ADJ">"c5732"</definedName>
    <definedName name="IQ_PENSION_CI_OTHER_MISC_ADJ_DOM">"c5730"</definedName>
    <definedName name="IQ_PENSION_CI_OTHER_MISC_ADJ_FOREIGN">"c5731"</definedName>
    <definedName name="IQ_PENSION_CI_PRIOR_SERVICE">"c5726"</definedName>
    <definedName name="IQ_PENSION_CI_PRIOR_SERVICE_DOM">"c5724"</definedName>
    <definedName name="IQ_PENSION_CI_PRIOR_SERVICE_FOREIGN">"c5725"</definedName>
    <definedName name="IQ_PENSION_CI_TRANSITION">"c5729"</definedName>
    <definedName name="IQ_PENSION_CI_TRANSITION_DOM">"c5727"</definedName>
    <definedName name="IQ_PENSION_CI_TRANSITION_FOREIGN">"c5728"</definedName>
    <definedName name="IQ_PENSION_CL">"c5753"</definedName>
    <definedName name="IQ_PENSION_CL_DOM">"c5751"</definedName>
    <definedName name="IQ_PENSION_CL_FOREIGN">"c5752"</definedName>
    <definedName name="IQ_PENSION_CONTRIBUTION_TOTAL_COST">"c3559"</definedName>
    <definedName name="IQ_PENSION_DISC_RATE_MAX">"c3236"</definedName>
    <definedName name="IQ_PENSION_DISC_RATE_MAX_DOM">"c3234"</definedName>
    <definedName name="IQ_PENSION_DISC_RATE_MAX_FOREIGN">"c3235"</definedName>
    <definedName name="IQ_PENSION_DISC_RATE_MIN">"c3233"</definedName>
    <definedName name="IQ_PENSION_DISC_RATE_MIN_DOM">"c3231"</definedName>
    <definedName name="IQ_PENSION_DISC_RATE_MIN_FOREIGN">"c3232"</definedName>
    <definedName name="IQ_PENSION_DISCOUNT_RATE_DOMESTIC">"c3573"</definedName>
    <definedName name="IQ_PENSION_DISCOUNT_RATE_FOREIGN">"c3574"</definedName>
    <definedName name="IQ_PENSION_EST_BENEFIT_1YR">"c3113"</definedName>
    <definedName name="IQ_PENSION_EST_BENEFIT_1YR_DOM">"c3111"</definedName>
    <definedName name="IQ_PENSION_EST_BENEFIT_1YR_FOREIGN">"c3112"</definedName>
    <definedName name="IQ_PENSION_EST_BENEFIT_2YR">"c3116"</definedName>
    <definedName name="IQ_PENSION_EST_BENEFIT_2YR_DOM">"c3114"</definedName>
    <definedName name="IQ_PENSION_EST_BENEFIT_2YR_FOREIGN">"c3115"</definedName>
    <definedName name="IQ_PENSION_EST_BENEFIT_3YR">"c3119"</definedName>
    <definedName name="IQ_PENSION_EST_BENEFIT_3YR_DOM">"c3117"</definedName>
    <definedName name="IQ_PENSION_EST_BENEFIT_3YR_FOREIGN">"c3118"</definedName>
    <definedName name="IQ_PENSION_EST_BENEFIT_4YR">"c3122"</definedName>
    <definedName name="IQ_PENSION_EST_BENEFIT_4YR_DOM">"c3120"</definedName>
    <definedName name="IQ_PENSION_EST_BENEFIT_4YR_FOREIGN">"c3121"</definedName>
    <definedName name="IQ_PENSION_EST_BENEFIT_5YR">"c3125"</definedName>
    <definedName name="IQ_PENSION_EST_BENEFIT_5YR_DOM">"c3123"</definedName>
    <definedName name="IQ_PENSION_EST_BENEFIT_5YR_FOREIGN">"c3124"</definedName>
    <definedName name="IQ_PENSION_EST_BENEFIT_AFTER5">"c3128"</definedName>
    <definedName name="IQ_PENSION_EST_BENEFIT_AFTER5_DOM">"c3126"</definedName>
    <definedName name="IQ_PENSION_EST_BENEFIT_AFTER5_FOREIGN">"c3127"</definedName>
    <definedName name="IQ_PENSION_EST_CONTRIBUTIONS_NEXTYR">"c3218"</definedName>
    <definedName name="IQ_PENSION_EST_CONTRIBUTIONS_NEXTYR_DOM">"c3216"</definedName>
    <definedName name="IQ_PENSION_EST_CONTRIBUTIONS_NEXTYR_FOREIGN">"c3217"</definedName>
    <definedName name="IQ_PENSION_EXP_RATE_RETURN_MAX">"c3248"</definedName>
    <definedName name="IQ_PENSION_EXP_RATE_RETURN_MAX_DOM">"c3246"</definedName>
    <definedName name="IQ_PENSION_EXP_RATE_RETURN_MAX_FOREIGN">"c3247"</definedName>
    <definedName name="IQ_PENSION_EXP_RATE_RETURN_MIN">"c3245"</definedName>
    <definedName name="IQ_PENSION_EXP_RATE_RETURN_MIN_DOM">"c3243"</definedName>
    <definedName name="IQ_PENSION_EXP_RATE_RETURN_MIN_FOREIGN">"c3244"</definedName>
    <definedName name="IQ_PENSION_EXP_RETURN_DOMESTIC">"c3571"</definedName>
    <definedName name="IQ_PENSION_EXP_RETURN_FOREIGN">"c3572"</definedName>
    <definedName name="IQ_PENSION_INTAN_ASSETS">"c3137"</definedName>
    <definedName name="IQ_PENSION_INTAN_ASSETS_DOM">"c3135"</definedName>
    <definedName name="IQ_PENSION_INTAN_ASSETS_FOREIGN">"c3136"</definedName>
    <definedName name="IQ_PENSION_INTEREST_COST">"c3582"</definedName>
    <definedName name="IQ_PENSION_INTEREST_COST_DOM">"c3580"</definedName>
    <definedName name="IQ_PENSION_INTEREST_COST_FOREIGN">"c3581"</definedName>
    <definedName name="IQ_PENSION_LT_ASSETS">"c5750"</definedName>
    <definedName name="IQ_PENSION_LT_ASSETS_DOM">"c5748"</definedName>
    <definedName name="IQ_PENSION_LT_ASSETS_FOREIGN">"c5749"</definedName>
    <definedName name="IQ_PENSION_LT_LIAB">"c5756"</definedName>
    <definedName name="IQ_PENSION_LT_LIAB_DOM">"c5754"</definedName>
    <definedName name="IQ_PENSION_LT_LIAB_FOREIGN">"c5755"</definedName>
    <definedName name="IQ_PENSION_NET_ASSET_RECOG">"c3152"</definedName>
    <definedName name="IQ_PENSION_NET_ASSET_RECOG_DOM">"c3150"</definedName>
    <definedName name="IQ_PENSION_NET_ASSET_RECOG_FOREIGN">"c3151"</definedName>
    <definedName name="IQ_PENSION_OBLIGATION_ACQ">"c3206"</definedName>
    <definedName name="IQ_PENSION_OBLIGATION_ACQ_DOM">"c3204"</definedName>
    <definedName name="IQ_PENSION_OBLIGATION_ACQ_FOREIGN">"c3205"</definedName>
    <definedName name="IQ_PENSION_OBLIGATION_ACTUARIAL_GAIN_LOSS">"c3197"</definedName>
    <definedName name="IQ_PENSION_OBLIGATION_ACTUARIAL_GAIN_LOSS_DOM">"c3195"</definedName>
    <definedName name="IQ_PENSION_OBLIGATION_ACTUARIAL_GAIN_LOSS_FOREIGN">"c3196"</definedName>
    <definedName name="IQ_PENSION_OBLIGATION_BEG">"c3185"</definedName>
    <definedName name="IQ_PENSION_OBLIGATION_BEG_DOM">"c3183"</definedName>
    <definedName name="IQ_PENSION_OBLIGATION_BEG_FOREIGN">"c3184"</definedName>
    <definedName name="IQ_PENSION_OBLIGATION_CURTAIL">"c3209"</definedName>
    <definedName name="IQ_PENSION_OBLIGATION_CURTAIL_DOM">"c3207"</definedName>
    <definedName name="IQ_PENSION_OBLIGATION_CURTAIL_FOREIGN">"c3208"</definedName>
    <definedName name="IQ_PENSION_OBLIGATION_EMPLOYEE_CONTRIBUTIONS">"c3194"</definedName>
    <definedName name="IQ_PENSION_OBLIGATION_EMPLOYEE_CONTRIBUTIONS_DOM">"c3192"</definedName>
    <definedName name="IQ_PENSION_OBLIGATION_EMPLOYEE_CONTRIBUTIONS_FOREIGN">"c3193"</definedName>
    <definedName name="IQ_PENSION_OBLIGATION_FX_ADJ">"c3203"</definedName>
    <definedName name="IQ_PENSION_OBLIGATION_FX_ADJ_DOM">"c3201"</definedName>
    <definedName name="IQ_PENSION_OBLIGATION_FX_ADJ_FOREIGN">"c3202"</definedName>
    <definedName name="IQ_PENSION_OBLIGATION_INTEREST_COST">"c3191"</definedName>
    <definedName name="IQ_PENSION_OBLIGATION_INTEREST_COST_DOM">"c3189"</definedName>
    <definedName name="IQ_PENSION_OBLIGATION_INTEREST_COST_FOREIGN">"c3190"</definedName>
    <definedName name="IQ_PENSION_OBLIGATION_OTHER_COST">"c3555"</definedName>
    <definedName name="IQ_PENSION_OBLIGATION_OTHER_COST_DOM">"c3553"</definedName>
    <definedName name="IQ_PENSION_OBLIGATION_OTHER_COST_FOREIGN">"c3554"</definedName>
    <definedName name="IQ_PENSION_OBLIGATION_OTHER_PLAN_ADJ">"c3212"</definedName>
    <definedName name="IQ_PENSION_OBLIGATION_OTHER_PLAN_ADJ_DOM">"c3210"</definedName>
    <definedName name="IQ_PENSION_OBLIGATION_OTHER_PLAN_ADJ_FOREIGN">"c3211"</definedName>
    <definedName name="IQ_PENSION_OBLIGATION_PAID">"c3200"</definedName>
    <definedName name="IQ_PENSION_OBLIGATION_PAID_DOM">"c3198"</definedName>
    <definedName name="IQ_PENSION_OBLIGATION_PAID_FOREIGN">"c3199"</definedName>
    <definedName name="IQ_PENSION_OBLIGATION_PROJECTED">"c3215"</definedName>
    <definedName name="IQ_PENSION_OBLIGATION_PROJECTED_DOM">"c3213"</definedName>
    <definedName name="IQ_PENSION_OBLIGATION_PROJECTED_FOREIGN">"c3214"</definedName>
    <definedName name="IQ_PENSION_OBLIGATION_ROA">"c3552"</definedName>
    <definedName name="IQ_PENSION_OBLIGATION_ROA_DOM">"c3550"</definedName>
    <definedName name="IQ_PENSION_OBLIGATION_ROA_FOREIGN">"c3551"</definedName>
    <definedName name="IQ_PENSION_OBLIGATION_SERVICE_COST">"c3188"</definedName>
    <definedName name="IQ_PENSION_OBLIGATION_SERVICE_COST_DOM">"c3186"</definedName>
    <definedName name="IQ_PENSION_OBLIGATION_SERVICE_COST_FOREIGN">"c3187"</definedName>
    <definedName name="IQ_PENSION_OBLIGATION_TOTAL_COST">"c3558"</definedName>
    <definedName name="IQ_PENSION_OBLIGATION_TOTAL_COST_DOM">"c3556"</definedName>
    <definedName name="IQ_PENSION_OBLIGATION_TOTAL_COST_FOREIGN">"c3557"</definedName>
    <definedName name="IQ_PENSION_OTHER">"c3143"</definedName>
    <definedName name="IQ_PENSION_OTHER_ADJ">"c3149"</definedName>
    <definedName name="IQ_PENSION_OTHER_ADJ_DOM">"c3147"</definedName>
    <definedName name="IQ_PENSION_OTHER_ADJ_FOREIGN">"c3148"</definedName>
    <definedName name="IQ_PENSION_OTHER_DOM">"c3141"</definedName>
    <definedName name="IQ_PENSION_OTHER_FOREIGN">"c3142"</definedName>
    <definedName name="IQ_PENSION_PBO_ASSUMED_RATE_RET_MAX">"c3254"</definedName>
    <definedName name="IQ_PENSION_PBO_ASSUMED_RATE_RET_MAX_DOM">"c3252"</definedName>
    <definedName name="IQ_PENSION_PBO_ASSUMED_RATE_RET_MAX_FOREIGN">"c3253"</definedName>
    <definedName name="IQ_PENSION_PBO_ASSUMED_RATE_RET_MIN">"c3251"</definedName>
    <definedName name="IQ_PENSION_PBO_ASSUMED_RATE_RET_MIN_DOM">"c3249"</definedName>
    <definedName name="IQ_PENSION_PBO_ASSUMED_RATE_RET_MIN_FOREIGN">"c3250"</definedName>
    <definedName name="IQ_PENSION_PBO_RATE_COMP_INCREASE_MAX">"c3260"</definedName>
    <definedName name="IQ_PENSION_PBO_RATE_COMP_INCREASE_MAX_DOM">"c3258"</definedName>
    <definedName name="IQ_PENSION_PBO_RATE_COMP_INCREASE_MAX_FOREIGN">"c3259"</definedName>
    <definedName name="IQ_PENSION_PBO_RATE_COMP_INCREASE_MIN">"c3257"</definedName>
    <definedName name="IQ_PENSION_PBO_RATE_COMP_INCREASE_MIN_DOM">"c3255"</definedName>
    <definedName name="IQ_PENSION_PBO_RATE_COMP_INCREASE_MIN_FOREIGN">"c3256"</definedName>
    <definedName name="IQ_PENSION_PREPAID_COST">"c3131"</definedName>
    <definedName name="IQ_PENSION_PREPAID_COST_DOM">"c3129"</definedName>
    <definedName name="IQ_PENSION_PREPAID_COST_FOREIGN">"c3130"</definedName>
    <definedName name="IQ_PENSION_PRIOR_SERVICE_NEXT">"c5741"</definedName>
    <definedName name="IQ_PENSION_PRIOR_SERVICE_NEXT_DOM">"c5739"</definedName>
    <definedName name="IQ_PENSION_PRIOR_SERVICE_NEXT_FOREIGN">"c5740"</definedName>
    <definedName name="IQ_PENSION_PROJECTED_OBLIGATION">"c3566"</definedName>
    <definedName name="IQ_PENSION_PROJECTED_OBLIGATION_DOMESTIC">"c3564"</definedName>
    <definedName name="IQ_PENSION_PROJECTED_OBLIGATION_FOREIGN">"c3565"</definedName>
    <definedName name="IQ_PENSION_QUART_ADDL_CONTRIBUTIONS_EXP">"c3224"</definedName>
    <definedName name="IQ_PENSION_QUART_ADDL_CONTRIBUTIONS_EXP_DOM">"c3222"</definedName>
    <definedName name="IQ_PENSION_QUART_ADDL_CONTRIBUTIONS_EXP_FOREIGN">"c3223"</definedName>
    <definedName name="IQ_PENSION_QUART_EMPLOYER_CONTRIBUTIONS">"c3221"</definedName>
    <definedName name="IQ_PENSION_QUART_EMPLOYER_CONTRIBUTIONS_DOM">"c3219"</definedName>
    <definedName name="IQ_PENSION_QUART_EMPLOYER_CONTRIBUTIONS_FOREIGN">"c3220"</definedName>
    <definedName name="IQ_PENSION_RATE_COMP_GROWTH_DOMESTIC">"c3575"</definedName>
    <definedName name="IQ_PENSION_RATE_COMP_GROWTH_FOREIGN">"c3576"</definedName>
    <definedName name="IQ_PENSION_RATE_COMP_INCREASE_MAX">"c3242"</definedName>
    <definedName name="IQ_PENSION_RATE_COMP_INCREASE_MAX_DOM">"c3240"</definedName>
    <definedName name="IQ_PENSION_RATE_COMP_INCREASE_MAX_FOREIGN">"c3241"</definedName>
    <definedName name="IQ_PENSION_RATE_COMP_INCREASE_MIN">"c3239"</definedName>
    <definedName name="IQ_PENSION_RATE_COMP_INCREASE_MIN_DOM">"c3237"</definedName>
    <definedName name="IQ_PENSION_RATE_COMP_INCREASE_MIN_FOREIGN">"c3238"</definedName>
    <definedName name="IQ_PENSION_SERVICE_COST">"c3579"</definedName>
    <definedName name="IQ_PENSION_SERVICE_COST_DOM">"c3577"</definedName>
    <definedName name="IQ_PENSION_SERVICE_COST_FOREIGN">"c3578"</definedName>
    <definedName name="IQ_PENSION_TOTAL_ASSETS">"c3563"</definedName>
    <definedName name="IQ_PENSION_TOTAL_ASSETS_DOMESTIC">"c3561"</definedName>
    <definedName name="IQ_PENSION_TOTAL_ASSETS_FOREIGN">"c3562"</definedName>
    <definedName name="IQ_PENSION_TOTAL_EXP">"c3560"</definedName>
    <definedName name="IQ_PENSION_TRANSITION_NEXT">"c5744"</definedName>
    <definedName name="IQ_PENSION_TRANSITION_NEXT_DOM">"c5742"</definedName>
    <definedName name="IQ_PENSION_TRANSITION_NEXT_FOREIGN">"c5743"</definedName>
    <definedName name="IQ_PENSION_UNFUNDED_ADDL_MIN_LIAB">"c3227"</definedName>
    <definedName name="IQ_PENSION_UNFUNDED_ADDL_MIN_LIAB_DOM">"c3225"</definedName>
    <definedName name="IQ_PENSION_UNFUNDED_ADDL_MIN_LIAB_FOREIGN">"c3226"</definedName>
    <definedName name="IQ_PENSION_UNRECOG_PRIOR">"c3146"</definedName>
    <definedName name="IQ_PENSION_UNRECOG_PRIOR_DOM">"c3144"</definedName>
    <definedName name="IQ_PENSION_UNRECOG_PRIOR_FOREIGN">"c3145"</definedName>
    <definedName name="IQ_PENSION_UV_LIAB">"c3567"</definedName>
    <definedName name="IQ_PERCENT_CHANGE_EST_5YR_GROWTH_RATE_12MONTHS">"c1852"</definedName>
    <definedName name="IQ_PERCENT_CHANGE_EST_5YR_GROWTH_RATE_12MONTHS_CIQ">"c3790"</definedName>
    <definedName name="IQ_PERCENT_CHANGE_EST_5YR_GROWTH_RATE_18MONTHS">"c1853"</definedName>
    <definedName name="IQ_PERCENT_CHANGE_EST_5YR_GROWTH_RATE_18MONTHS_CIQ">"c3791"</definedName>
    <definedName name="IQ_PERCENT_CHANGE_EST_5YR_GROWTH_RATE_3MONTHS">"c1849"</definedName>
    <definedName name="IQ_PERCENT_CHANGE_EST_5YR_GROWTH_RATE_3MONTHS_CIQ">"c3787"</definedName>
    <definedName name="IQ_PERCENT_CHANGE_EST_5YR_GROWTH_RATE_6MONTHS">"c1850"</definedName>
    <definedName name="IQ_PERCENT_CHANGE_EST_5YR_GROWTH_RATE_6MONTHS_CIQ">"c3788"</definedName>
    <definedName name="IQ_PERCENT_CHANGE_EST_5YR_GROWTH_RATE_9MONTHS">"c1851"</definedName>
    <definedName name="IQ_PERCENT_CHANGE_EST_5YR_GROWTH_RATE_9MONTHS_CIQ">"c3789"</definedName>
    <definedName name="IQ_PERCENT_CHANGE_EST_5YR_GROWTH_RATE_DAY">"c1846"</definedName>
    <definedName name="IQ_PERCENT_CHANGE_EST_5YR_GROWTH_RATE_DAY_CIQ">"c3785"</definedName>
    <definedName name="IQ_PERCENT_CHANGE_EST_5YR_GROWTH_RATE_MONTH">"c1848"</definedName>
    <definedName name="IQ_PERCENT_CHANGE_EST_5YR_GROWTH_RATE_MONTH_CIQ">"c3786"</definedName>
    <definedName name="IQ_PERCENT_CHANGE_EST_5YR_GROWTH_RATE_WEEK">"c1847"</definedName>
    <definedName name="IQ_PERCENT_CHANGE_EST_5YR_GROWTH_RATE_WEEK_CIQ">"c3797"</definedName>
    <definedName name="IQ_PERCENT_CHANGE_EST_CFPS_12MONTHS">"c1812"</definedName>
    <definedName name="IQ_PERCENT_CHANGE_EST_CFPS_12MONTHS_CIQ">"c3755"</definedName>
    <definedName name="IQ_PERCENT_CHANGE_EST_CFPS_18MONTHS">"c1813"</definedName>
    <definedName name="IQ_PERCENT_CHANGE_EST_CFPS_18MONTHS_CIQ">"c3756"</definedName>
    <definedName name="IQ_PERCENT_CHANGE_EST_CFPS_3MONTHS">"c1809"</definedName>
    <definedName name="IQ_PERCENT_CHANGE_EST_CFPS_3MONTHS_CIQ">"c3752"</definedName>
    <definedName name="IQ_PERCENT_CHANGE_EST_CFPS_6MONTHS">"c1810"</definedName>
    <definedName name="IQ_PERCENT_CHANGE_EST_CFPS_6MONTHS_CIQ">"c3753"</definedName>
    <definedName name="IQ_PERCENT_CHANGE_EST_CFPS_9MONTHS">"c1811"</definedName>
    <definedName name="IQ_PERCENT_CHANGE_EST_CFPS_9MONTHS_CIQ">"c3754"</definedName>
    <definedName name="IQ_PERCENT_CHANGE_EST_CFPS_DAY">"c1806"</definedName>
    <definedName name="IQ_PERCENT_CHANGE_EST_CFPS_DAY_CIQ">"c3750"</definedName>
    <definedName name="IQ_PERCENT_CHANGE_EST_CFPS_MONTH">"c1808"</definedName>
    <definedName name="IQ_PERCENT_CHANGE_EST_CFPS_MONTH_CIQ">"c3751"</definedName>
    <definedName name="IQ_PERCENT_CHANGE_EST_CFPS_WEEK">"c1807"</definedName>
    <definedName name="IQ_PERCENT_CHANGE_EST_CFPS_WEEK_CIQ">"c3793"</definedName>
    <definedName name="IQ_PERCENT_CHANGE_EST_DPS_12MONTHS">"c1820"</definedName>
    <definedName name="IQ_PERCENT_CHANGE_EST_DPS_12MONTHS_CIQ">"c3762"</definedName>
    <definedName name="IQ_PERCENT_CHANGE_EST_DPS_18MONTHS">"c1821"</definedName>
    <definedName name="IQ_PERCENT_CHANGE_EST_DPS_18MONTHS_CIQ">"c3763"</definedName>
    <definedName name="IQ_PERCENT_CHANGE_EST_DPS_3MONTHS">"c1817"</definedName>
    <definedName name="IQ_PERCENT_CHANGE_EST_DPS_3MONTHS_CIQ">"c3759"</definedName>
    <definedName name="IQ_PERCENT_CHANGE_EST_DPS_6MONTHS">"c1818"</definedName>
    <definedName name="IQ_PERCENT_CHANGE_EST_DPS_6MONTHS_CIQ">"c3760"</definedName>
    <definedName name="IQ_PERCENT_CHANGE_EST_DPS_9MONTHS">"c1819"</definedName>
    <definedName name="IQ_PERCENT_CHANGE_EST_DPS_9MONTHS_CIQ">"c3761"</definedName>
    <definedName name="IQ_PERCENT_CHANGE_EST_DPS_DAY">"c1814"</definedName>
    <definedName name="IQ_PERCENT_CHANGE_EST_DPS_DAY_CIQ">"c3757"</definedName>
    <definedName name="IQ_PERCENT_CHANGE_EST_DPS_MONTH">"c1816"</definedName>
    <definedName name="IQ_PERCENT_CHANGE_EST_DPS_MONTH_CIQ">"c3758"</definedName>
    <definedName name="IQ_PERCENT_CHANGE_EST_DPS_WEEK">"c1815"</definedName>
    <definedName name="IQ_PERCENT_CHANGE_EST_DPS_WEEK_CIQ">"c3794"</definedName>
    <definedName name="IQ_PERCENT_CHANGE_EST_EBITDA_12MONTHS">"c1804"</definedName>
    <definedName name="IQ_PERCENT_CHANGE_EST_EBITDA_12MONTHS_CIQ">"c3748"</definedName>
    <definedName name="IQ_PERCENT_CHANGE_EST_EBITDA_18MONTHS">"c1805"</definedName>
    <definedName name="IQ_PERCENT_CHANGE_EST_EBITDA_18MONTHS_CIQ">"c3749"</definedName>
    <definedName name="IQ_PERCENT_CHANGE_EST_EBITDA_3MONTHS">"c1801"</definedName>
    <definedName name="IQ_PERCENT_CHANGE_EST_EBITDA_3MONTHS_CIQ">"c3745"</definedName>
    <definedName name="IQ_PERCENT_CHANGE_EST_EBITDA_6MONTHS">"c1802"</definedName>
    <definedName name="IQ_PERCENT_CHANGE_EST_EBITDA_6MONTHS_CIQ">"c3746"</definedName>
    <definedName name="IQ_PERCENT_CHANGE_EST_EBITDA_9MONTHS">"c1803"</definedName>
    <definedName name="IQ_PERCENT_CHANGE_EST_EBITDA_9MONTHS_CIQ">"c3747"</definedName>
    <definedName name="IQ_PERCENT_CHANGE_EST_EBITDA_DAY">"c1798"</definedName>
    <definedName name="IQ_PERCENT_CHANGE_EST_EBITDA_DAY_CIQ">"c3743"</definedName>
    <definedName name="IQ_PERCENT_CHANGE_EST_EBITDA_MONTH">"c1800"</definedName>
    <definedName name="IQ_PERCENT_CHANGE_EST_EBITDA_MONTH_CIQ">"c3744"</definedName>
    <definedName name="IQ_PERCENT_CHANGE_EST_EBITDA_WEEK">"c1799"</definedName>
    <definedName name="IQ_PERCENT_CHANGE_EST_EBITDA_WEEK_CIQ">"c3792"</definedName>
    <definedName name="IQ_PERCENT_CHANGE_EST_EPS_12MONTHS">"c1788"</definedName>
    <definedName name="IQ_PERCENT_CHANGE_EST_EPS_12MONTHS_CIQ">"c3733"</definedName>
    <definedName name="IQ_PERCENT_CHANGE_EST_EPS_18MONTHS">"c1789"</definedName>
    <definedName name="IQ_PERCENT_CHANGE_EST_EPS_18MONTHS_CIQ">"c3734"</definedName>
    <definedName name="IQ_PERCENT_CHANGE_EST_EPS_3MONTHS">"c1785"</definedName>
    <definedName name="IQ_PERCENT_CHANGE_EST_EPS_3MONTHS_CIQ">"c3730"</definedName>
    <definedName name="IQ_PERCENT_CHANGE_EST_EPS_6MONTHS">"c1786"</definedName>
    <definedName name="IQ_PERCENT_CHANGE_EST_EPS_6MONTHS_CIQ">"c3731"</definedName>
    <definedName name="IQ_PERCENT_CHANGE_EST_EPS_9MONTHS">"c1787"</definedName>
    <definedName name="IQ_PERCENT_CHANGE_EST_EPS_9MONTHS_CIQ">"c3732"</definedName>
    <definedName name="IQ_PERCENT_CHANGE_EST_EPS_DAY">"c1782"</definedName>
    <definedName name="IQ_PERCENT_CHANGE_EST_EPS_DAY_CIQ">"c3727"</definedName>
    <definedName name="IQ_PERCENT_CHANGE_EST_EPS_MONTH">"c1784"</definedName>
    <definedName name="IQ_PERCENT_CHANGE_EST_EPS_MONTH_CIQ">"c3729"</definedName>
    <definedName name="IQ_PERCENT_CHANGE_EST_EPS_WEEK">"c1783"</definedName>
    <definedName name="IQ_PERCENT_CHANGE_EST_EPS_WEEK_CIQ">"c3728"</definedName>
    <definedName name="IQ_PERCENT_CHANGE_EST_FFO_12MONTHS">"c1828"</definedName>
    <definedName name="IQ_PERCENT_CHANGE_EST_FFO_12MONTHS_THOM">"c5248"</definedName>
    <definedName name="IQ_PERCENT_CHANGE_EST_FFO_18MONTHS">"c1829"</definedName>
    <definedName name="IQ_PERCENT_CHANGE_EST_FFO_18MONTHS_THOM">"c5249"</definedName>
    <definedName name="IQ_PERCENT_CHANGE_EST_FFO_3MONTHS">"c1825"</definedName>
    <definedName name="IQ_PERCENT_CHANGE_EST_FFO_3MONTHS_THOM">"c5245"</definedName>
    <definedName name="IQ_PERCENT_CHANGE_EST_FFO_6MONTHS">"c1826"</definedName>
    <definedName name="IQ_PERCENT_CHANGE_EST_FFO_6MONTHS_THOM">"c5246"</definedName>
    <definedName name="IQ_PERCENT_CHANGE_EST_FFO_9MONTHS">"c1827"</definedName>
    <definedName name="IQ_PERCENT_CHANGE_EST_FFO_9MONTHS_THOM">"c5247"</definedName>
    <definedName name="IQ_PERCENT_CHANGE_EST_FFO_DAY">"c1822"</definedName>
    <definedName name="IQ_PERCENT_CHANGE_EST_FFO_DAY_THOM">"c5243"</definedName>
    <definedName name="IQ_PERCENT_CHANGE_EST_FFO_MONTH">"c1824"</definedName>
    <definedName name="IQ_PERCENT_CHANGE_EST_FFO_MONTH_THOM">"c5244"</definedName>
    <definedName name="IQ_PERCENT_CHANGE_EST_FFO_SHARE_12MONTHS">"c1828"</definedName>
    <definedName name="IQ_PERCENT_CHANGE_EST_FFO_SHARE_12MONTHS_CIQ">"c3769"</definedName>
    <definedName name="IQ_PERCENT_CHANGE_EST_FFO_SHARE_18MONTHS">"c1829"</definedName>
    <definedName name="IQ_PERCENT_CHANGE_EST_FFO_SHARE_18MONTHS_CIQ">"c3770"</definedName>
    <definedName name="IQ_PERCENT_CHANGE_EST_FFO_SHARE_3MONTHS">"c1825"</definedName>
    <definedName name="IQ_PERCENT_CHANGE_EST_FFO_SHARE_3MONTHS_CIQ">"c3766"</definedName>
    <definedName name="IQ_PERCENT_CHANGE_EST_FFO_SHARE_6MONTHS">"c1826"</definedName>
    <definedName name="IQ_PERCENT_CHANGE_EST_FFO_SHARE_6MONTHS_CIQ">"c3767"</definedName>
    <definedName name="IQ_PERCENT_CHANGE_EST_FFO_SHARE_9MONTHS">"c1827"</definedName>
    <definedName name="IQ_PERCENT_CHANGE_EST_FFO_SHARE_9MONTHS_CIQ">"c3768"</definedName>
    <definedName name="IQ_PERCENT_CHANGE_EST_FFO_SHARE_DAY">"c1822"</definedName>
    <definedName name="IQ_PERCENT_CHANGE_EST_FFO_SHARE_DAY_CIQ">"c3764"</definedName>
    <definedName name="IQ_PERCENT_CHANGE_EST_FFO_SHARE_MONTH">"c1824"</definedName>
    <definedName name="IQ_PERCENT_CHANGE_EST_FFO_SHARE_MONTH_CIQ">"c3765"</definedName>
    <definedName name="IQ_PERCENT_CHANGE_EST_FFO_SHARE_SHARE_12MONTHS">"c1828"</definedName>
    <definedName name="IQ_PERCENT_CHANGE_EST_FFO_SHARE_SHARE_12MONTHS_THOM">"c5248"</definedName>
    <definedName name="IQ_PERCENT_CHANGE_EST_FFO_SHARE_SHARE_18MONTHS">"c1829"</definedName>
    <definedName name="IQ_PERCENT_CHANGE_EST_FFO_SHARE_SHARE_18MONTHS_THOM">"c5249"</definedName>
    <definedName name="IQ_PERCENT_CHANGE_EST_FFO_SHARE_SHARE_3MONTHS">"c1825"</definedName>
    <definedName name="IQ_PERCENT_CHANGE_EST_FFO_SHARE_SHARE_3MONTHS_THOM">"c5245"</definedName>
    <definedName name="IQ_PERCENT_CHANGE_EST_FFO_SHARE_SHARE_6MONTHS">"c1826"</definedName>
    <definedName name="IQ_PERCENT_CHANGE_EST_FFO_SHARE_SHARE_6MONTHS_THOM">"c5246"</definedName>
    <definedName name="IQ_PERCENT_CHANGE_EST_FFO_SHARE_SHARE_9MONTHS">"c1827"</definedName>
    <definedName name="IQ_PERCENT_CHANGE_EST_FFO_SHARE_SHARE_9MONTHS_THOM">"c5247"</definedName>
    <definedName name="IQ_PERCENT_CHANGE_EST_FFO_SHARE_SHARE_DAY">"c1822"</definedName>
    <definedName name="IQ_PERCENT_CHANGE_EST_FFO_SHARE_SHARE_DAY_THOM">"c5243"</definedName>
    <definedName name="IQ_PERCENT_CHANGE_EST_FFO_SHARE_SHARE_MONTH">"c1824"</definedName>
    <definedName name="IQ_PERCENT_CHANGE_EST_FFO_SHARE_SHARE_MONTH_THOM">"c5244"</definedName>
    <definedName name="IQ_PERCENT_CHANGE_EST_FFO_SHARE_SHARE_WEEK">"c1823"</definedName>
    <definedName name="IQ_PERCENT_CHANGE_EST_FFO_SHARE_SHARE_WEEK_THOM">"c5274"</definedName>
    <definedName name="IQ_PERCENT_CHANGE_EST_FFO_SHARE_WEEK">"c1823"</definedName>
    <definedName name="IQ_PERCENT_CHANGE_EST_FFO_SHARE_WEEK_CIQ">"c3795"</definedName>
    <definedName name="IQ_PERCENT_CHANGE_EST_FFO_WEEK">"c1823"</definedName>
    <definedName name="IQ_PERCENT_CHANGE_EST_FFO_WEEK_THOM">"c5274"</definedName>
    <definedName name="IQ_PERCENT_CHANGE_EST_PRICE_TARGET_12MONTHS">"c1844"</definedName>
    <definedName name="IQ_PERCENT_CHANGE_EST_PRICE_TARGET_12MONTHS_CIQ">"c3783"</definedName>
    <definedName name="IQ_PERCENT_CHANGE_EST_PRICE_TARGET_18MONTHS">"c1845"</definedName>
    <definedName name="IQ_PERCENT_CHANGE_EST_PRICE_TARGET_18MONTHS_CIQ">"c3784"</definedName>
    <definedName name="IQ_PERCENT_CHANGE_EST_PRICE_TARGET_3MONTHS">"c1841"</definedName>
    <definedName name="IQ_PERCENT_CHANGE_EST_PRICE_TARGET_3MONTHS_CIQ">"c3780"</definedName>
    <definedName name="IQ_PERCENT_CHANGE_EST_PRICE_TARGET_6MONTHS">"c1842"</definedName>
    <definedName name="IQ_PERCENT_CHANGE_EST_PRICE_TARGET_6MONTHS_CIQ">"c3781"</definedName>
    <definedName name="IQ_PERCENT_CHANGE_EST_PRICE_TARGET_9MONTHS">"c1843"</definedName>
    <definedName name="IQ_PERCENT_CHANGE_EST_PRICE_TARGET_9MONTHS_CIQ">"c3782"</definedName>
    <definedName name="IQ_PERCENT_CHANGE_EST_PRICE_TARGET_DAY">"c1838"</definedName>
    <definedName name="IQ_PERCENT_CHANGE_EST_PRICE_TARGET_DAY_CIQ">"c3778"</definedName>
    <definedName name="IQ_PERCENT_CHANGE_EST_PRICE_TARGET_MONTH">"c1840"</definedName>
    <definedName name="IQ_PERCENT_CHANGE_EST_PRICE_TARGET_MONTH_CIQ">"c3779"</definedName>
    <definedName name="IQ_PERCENT_CHANGE_EST_PRICE_TARGET_WEEK">"c1839"</definedName>
    <definedName name="IQ_PERCENT_CHANGE_EST_PRICE_TARGET_WEEK_CIQ">"c3798"</definedName>
    <definedName name="IQ_PERCENT_CHANGE_EST_RECO_12MONTHS">"c1836"</definedName>
    <definedName name="IQ_PERCENT_CHANGE_EST_RECO_12MONTHS_CIQ">"c3776"</definedName>
    <definedName name="IQ_PERCENT_CHANGE_EST_RECO_18MONTHS">"c1837"</definedName>
    <definedName name="IQ_PERCENT_CHANGE_EST_RECO_18MONTHS_CIQ">"c3777"</definedName>
    <definedName name="IQ_PERCENT_CHANGE_EST_RECO_3MONTHS">"c1833"</definedName>
    <definedName name="IQ_PERCENT_CHANGE_EST_RECO_3MONTHS_CIQ">"c3773"</definedName>
    <definedName name="IQ_PERCENT_CHANGE_EST_RECO_6MONTHS">"c1834"</definedName>
    <definedName name="IQ_PERCENT_CHANGE_EST_RECO_6MONTHS_CIQ">"c3774"</definedName>
    <definedName name="IQ_PERCENT_CHANGE_EST_RECO_9MONTHS">"c1835"</definedName>
    <definedName name="IQ_PERCENT_CHANGE_EST_RECO_9MONTHS_CIQ">"c3775"</definedName>
    <definedName name="IQ_PERCENT_CHANGE_EST_RECO_DAY">"c1830"</definedName>
    <definedName name="IQ_PERCENT_CHANGE_EST_RECO_DAY_CIQ">"c3771"</definedName>
    <definedName name="IQ_PERCENT_CHANGE_EST_RECO_MONTH">"c1832"</definedName>
    <definedName name="IQ_PERCENT_CHANGE_EST_RECO_MONTH_CIQ">"c3772"</definedName>
    <definedName name="IQ_PERCENT_CHANGE_EST_RECO_WEEK">"c1831"</definedName>
    <definedName name="IQ_PERCENT_CHANGE_EST_RECO_WEEK_CIQ">"c3796"</definedName>
    <definedName name="IQ_PERCENT_CHANGE_EST_REV_12MONTHS">"c1796"</definedName>
    <definedName name="IQ_PERCENT_CHANGE_EST_REV_12MONTHS_CIQ">"c3741"</definedName>
    <definedName name="IQ_PERCENT_CHANGE_EST_REV_18MONTHS">"c1797"</definedName>
    <definedName name="IQ_PERCENT_CHANGE_EST_REV_18MONTHS_CIQ">"c3742"</definedName>
    <definedName name="IQ_PERCENT_CHANGE_EST_REV_3MONTHS">"c1793"</definedName>
    <definedName name="IQ_PERCENT_CHANGE_EST_REV_3MONTHS_CIQ">"c3738"</definedName>
    <definedName name="IQ_PERCENT_CHANGE_EST_REV_6MONTHS">"c1794"</definedName>
    <definedName name="IQ_PERCENT_CHANGE_EST_REV_6MONTHS_CIQ">"c3739"</definedName>
    <definedName name="IQ_PERCENT_CHANGE_EST_REV_9MONTHS">"c1795"</definedName>
    <definedName name="IQ_PERCENT_CHANGE_EST_REV_9MONTHS_CIQ">"c3740"</definedName>
    <definedName name="IQ_PERCENT_CHANGE_EST_REV_DAY">"c1790"</definedName>
    <definedName name="IQ_PERCENT_CHANGE_EST_REV_DAY_CIQ">"c3735"</definedName>
    <definedName name="IQ_PERCENT_CHANGE_EST_REV_MONTH">"c1792"</definedName>
    <definedName name="IQ_PERCENT_CHANGE_EST_REV_MONTH_CIQ">"c3737"</definedName>
    <definedName name="IQ_PERCENT_CHANGE_EST_REV_WEEK">"c1791"</definedName>
    <definedName name="IQ_PERCENT_CHANGE_EST_REV_WEEK_CIQ">"c3736"</definedName>
    <definedName name="IQ_PERCENT_INSURED_FDIC">"c6374"</definedName>
    <definedName name="IQ_PERFORMANCE_LOC_FOREIGN_GUARANTEES_FFIEC">"c13251"</definedName>
    <definedName name="IQ_PERIODDATE">"c1414"</definedName>
    <definedName name="IQ_PERIODDATE_AP">"c11745"</definedName>
    <definedName name="IQ_PERIODDATE_BS">"c1032"</definedName>
    <definedName name="IQ_PERIODDATE_CF">"c1033"</definedName>
    <definedName name="IQ_PERIODDATE_FDIC">"c13646"</definedName>
    <definedName name="IQ_PERIODDATE_FFIEC">"c13645"</definedName>
    <definedName name="IQ_PERIODDATE_IS">"c1034"</definedName>
    <definedName name="IQ_PERIODLENGTH_AP">"c11746"</definedName>
    <definedName name="IQ_PERIODLENGTH_CF">"c1502"</definedName>
    <definedName name="IQ_PERIODLENGTH_IS">"c1503"</definedName>
    <definedName name="IQ_PERSONAL_CONSUMER_SPENDING_DURABLE">"c6942"</definedName>
    <definedName name="IQ_PERSONAL_CONSUMER_SPENDING_DURABLE_APR">"c7602"</definedName>
    <definedName name="IQ_PERSONAL_CONSUMER_SPENDING_DURABLE_APR_FC">"c8482"</definedName>
    <definedName name="IQ_PERSONAL_CONSUMER_SPENDING_DURABLE_FC">"c7822"</definedName>
    <definedName name="IQ_PERSONAL_CONSUMER_SPENDING_DURABLE_POP">"c7162"</definedName>
    <definedName name="IQ_PERSONAL_CONSUMER_SPENDING_DURABLE_POP_FC">"c8042"</definedName>
    <definedName name="IQ_PERSONAL_CONSUMER_SPENDING_DURABLE_YOY">"c7382"</definedName>
    <definedName name="IQ_PERSONAL_CONSUMER_SPENDING_DURABLE_YOY_FC">"c8262"</definedName>
    <definedName name="IQ_PERSONAL_CONSUMER_SPENDING_NONDURABLE">"c6940"</definedName>
    <definedName name="IQ_PERSONAL_CONSUMER_SPENDING_NONDURABLE_APR">"c7600"</definedName>
    <definedName name="IQ_PERSONAL_CONSUMER_SPENDING_NONDURABLE_APR_FC">"c8480"</definedName>
    <definedName name="IQ_PERSONAL_CONSUMER_SPENDING_NONDURABLE_FC">"c7820"</definedName>
    <definedName name="IQ_PERSONAL_CONSUMER_SPENDING_NONDURABLE_POP">"c7160"</definedName>
    <definedName name="IQ_PERSONAL_CONSUMER_SPENDING_NONDURABLE_POP_FC">"c8040"</definedName>
    <definedName name="IQ_PERSONAL_CONSUMER_SPENDING_NONDURABLE_YOY">"c7380"</definedName>
    <definedName name="IQ_PERSONAL_CONSUMER_SPENDING_NONDURABLE_YOY_FC">"c8260"</definedName>
    <definedName name="IQ_PERSONAL_CONSUMER_SPENDING_REAL">"c6994"</definedName>
    <definedName name="IQ_PERSONAL_CONSUMER_SPENDING_REAL_APR">"c7654"</definedName>
    <definedName name="IQ_PERSONAL_CONSUMER_SPENDING_REAL_APR_FC">"c8534"</definedName>
    <definedName name="IQ_PERSONAL_CONSUMER_SPENDING_REAL_FC">"c7874"</definedName>
    <definedName name="IQ_PERSONAL_CONSUMER_SPENDING_REAL_POP">"c7214"</definedName>
    <definedName name="IQ_PERSONAL_CONSUMER_SPENDING_REAL_POP_FC">"c8094"</definedName>
    <definedName name="IQ_PERSONAL_CONSUMER_SPENDING_REAL_YOY">"c7434"</definedName>
    <definedName name="IQ_PERSONAL_CONSUMER_SPENDING_REAL_YOY_FC">"c8314"</definedName>
    <definedName name="IQ_PERSONAL_CONSUMER_SPENDING_SERVICES">"c6941"</definedName>
    <definedName name="IQ_PERSONAL_CONSUMER_SPENDING_SERVICES_APR">"c7601"</definedName>
    <definedName name="IQ_PERSONAL_CONSUMER_SPENDING_SERVICES_APR_FC">"c8481"</definedName>
    <definedName name="IQ_PERSONAL_CONSUMER_SPENDING_SERVICES_FC">"c7821"</definedName>
    <definedName name="IQ_PERSONAL_CONSUMER_SPENDING_SERVICES_POP">"c7161"</definedName>
    <definedName name="IQ_PERSONAL_CONSUMER_SPENDING_SERVICES_POP_FC">"c8041"</definedName>
    <definedName name="IQ_PERSONAL_CONSUMER_SPENDING_SERVICES_YOY">"c7381"</definedName>
    <definedName name="IQ_PERSONAL_CONSUMER_SPENDING_SERVICES_YOY_FC">"c8261"</definedName>
    <definedName name="IQ_PERSONAL_INCOME">"c6943"</definedName>
    <definedName name="IQ_PERSONAL_INCOME_APR">"c7603"</definedName>
    <definedName name="IQ_PERSONAL_INCOME_APR_FC">"c8483"</definedName>
    <definedName name="IQ_PERSONAL_INCOME_FC">"c7823"</definedName>
    <definedName name="IQ_PERSONAL_INCOME_POP">"c7163"</definedName>
    <definedName name="IQ_PERSONAL_INCOME_POP_FC">"c8043"</definedName>
    <definedName name="IQ_PERSONAL_INCOME_SAAR">"c6944"</definedName>
    <definedName name="IQ_PERSONAL_INCOME_SAAR_APR">"c7604"</definedName>
    <definedName name="IQ_PERSONAL_INCOME_SAAR_APR_FC">"c8484"</definedName>
    <definedName name="IQ_PERSONAL_INCOME_SAAR_FC">"c7824"</definedName>
    <definedName name="IQ_PERSONAL_INCOME_SAAR_POP">"c7164"</definedName>
    <definedName name="IQ_PERSONAL_INCOME_SAAR_POP_FC">"c8044"</definedName>
    <definedName name="IQ_PERSONAL_INCOME_SAAR_YOY">"c7384"</definedName>
    <definedName name="IQ_PERSONAL_INCOME_SAAR_YOY_FC">"c8264"</definedName>
    <definedName name="IQ_PERSONAL_INCOME_USD_APR_FC">"c11885"</definedName>
    <definedName name="IQ_PERSONAL_INCOME_USD_FC">"c11882"</definedName>
    <definedName name="IQ_PERSONAL_INCOME_USD_POP_FC">"c11883"</definedName>
    <definedName name="IQ_PERSONAL_INCOME_USD_YOY_FC">"c11884"</definedName>
    <definedName name="IQ_PERSONAL_INCOME_YOY">"c7383"</definedName>
    <definedName name="IQ_PERSONAL_INCOME_YOY_FC">"c8263"</definedName>
    <definedName name="IQ_PERSONNEL_EXP_AVG_ASSETS_FFIEC">"c13371"</definedName>
    <definedName name="IQ_PERSONNEL_EXP_OPERATING_INC_FFIEC">"c13379"</definedName>
    <definedName name="IQ_PERTYPE">"c1611"</definedName>
    <definedName name="IQ_PHARMBIO_NUMBER_LICENSED_PATENT_APP">"c10018"</definedName>
    <definedName name="IQ_PHARMBIO_NUMBER_LICENSED_PATENTS">"c10017"</definedName>
    <definedName name="IQ_PHARMBIO_NUMBER_PATENTS">"c10015"</definedName>
    <definedName name="IQ_PHARMBIO_NUMBER_PROD__APPROVED_DURING_PERIOD">"c12750"</definedName>
    <definedName name="IQ_PHARMBIO_NUMBER_PROD__CLINICAL_DEV">"c12745"</definedName>
    <definedName name="IQ_PHARMBIO_NUMBER_PROD__LAUNCHED_DURING_PERIOD">"c12751"</definedName>
    <definedName name="IQ_PHARMBIO_NUMBER_PROD__PHASE_I">"c12746"</definedName>
    <definedName name="IQ_PHARMBIO_NUMBER_PROD__PHASE_II">"c12747"</definedName>
    <definedName name="IQ_PHARMBIO_NUMBER_PROD__PHASE_III">"c12748"</definedName>
    <definedName name="IQ_PHARMBIO_NUMBER_PROD__PRE_CLINICAL_TRIALS">"c12744"</definedName>
    <definedName name="IQ_PHARMBIO_NUMBER_PROD__PRE_REGISTRATION">"c12749"</definedName>
    <definedName name="IQ_PHARMBIO_NUMBER_PROD__RESEARCH_DEV">"c12743"</definedName>
    <definedName name="IQ_PHARMBIO_NUMBER_PROD_APPROVED_DURING_PERIOD">"c10027"</definedName>
    <definedName name="IQ_PHARMBIO_NUMBER_PROD_CLINICAL_DEV">"c10022"</definedName>
    <definedName name="IQ_PHARMBIO_NUMBER_PROD_DISCOVERY_RESEARCH">"c10019"</definedName>
    <definedName name="IQ_PHARMBIO_NUMBER_PROD_LAUNCHED_DURING_PERIOD">"c10028"</definedName>
    <definedName name="IQ_PHARMBIO_NUMBER_PROD_PHASE_I">"c10023"</definedName>
    <definedName name="IQ_PHARMBIO_NUMBER_PROD_PHASE_II">"c10024"</definedName>
    <definedName name="IQ_PHARMBIO_NUMBER_PROD_PHASE_III">"c10025"</definedName>
    <definedName name="IQ_PHARMBIO_NUMBER_PROD_PRE_CLINICAL_TRIALS">"c10021"</definedName>
    <definedName name="IQ_PHARMBIO_NUMBER_PROD_PRE_REGISTRATION">"c10026"</definedName>
    <definedName name="IQ_PHARMBIO_NUMBER_PROD_RESEARCH_DEV">"c10020"</definedName>
    <definedName name="IQ_PHARMBIO_PATENT_APP">"c10016"</definedName>
    <definedName name="IQ_PHILADELPHIA_FED_DIFFUSION_INDEX">"c6945"</definedName>
    <definedName name="IQ_PHILADELPHIA_FED_DIFFUSION_INDEX_APR">"c7605"</definedName>
    <definedName name="IQ_PHILADELPHIA_FED_DIFFUSION_INDEX_APR_FC">"c8485"</definedName>
    <definedName name="IQ_PHILADELPHIA_FED_DIFFUSION_INDEX_FC">"c7825"</definedName>
    <definedName name="IQ_PHILADELPHIA_FED_DIFFUSION_INDEX_POP">"c7165"</definedName>
    <definedName name="IQ_PHILADELPHIA_FED_DIFFUSION_INDEX_POP_FC">"c8045"</definedName>
    <definedName name="IQ_PHILADELPHIA_FED_DIFFUSION_INDEX_YOY">"c7385"</definedName>
    <definedName name="IQ_PHILADELPHIA_FED_DIFFUSION_INDEX_YOY_FC">"c8265"</definedName>
    <definedName name="IQ_PLEDGED_SEC_INVEST_SECURITIES_FFIEC">"c13467"</definedName>
    <definedName name="IQ_PLEDGED_SECURITIES_FDIC">"c6401"</definedName>
    <definedName name="IQ_PLL">"c2114"</definedName>
    <definedName name="IQ_PMAC_DIFFUSION_INDEX">"c6946"</definedName>
    <definedName name="IQ_PMAC_DIFFUSION_INDEX_APR">"c7606"</definedName>
    <definedName name="IQ_PMAC_DIFFUSION_INDEX_APR_FC">"c8486"</definedName>
    <definedName name="IQ_PMAC_DIFFUSION_INDEX_FC">"c7826"</definedName>
    <definedName name="IQ_PMAC_DIFFUSION_INDEX_POP">"c7166"</definedName>
    <definedName name="IQ_PMAC_DIFFUSION_INDEX_POP_FC">"c8046"</definedName>
    <definedName name="IQ_PMAC_DIFFUSION_INDEX_YOY">"c7386"</definedName>
    <definedName name="IQ_PMAC_DIFFUSION_INDEX_YOY_FC">"c8266"</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LICYHOLDER_BENEFITS_LH_FFIEC">"c13107"</definedName>
    <definedName name="IQ_POOL_AMT_ORIGINAL">"c8970"</definedName>
    <definedName name="IQ_POOL_NAME">"c8967"</definedName>
    <definedName name="IQ_POOL_NUMBER">"c8968"</definedName>
    <definedName name="IQ_POOL_TYPE">"c8969"</definedName>
    <definedName name="IQ_POSITIVE_FAIR_VALUE_DERIVATIVES_BENEFICIARY_FFIEC">"c13123"</definedName>
    <definedName name="IQ_POSITIVE_FAIR_VALUE_DERIVATIVES_GUARANTOR_FFIEC">"c13116"</definedName>
    <definedName name="IQ_POST_RETIRE_EXP">"c1039"</definedName>
    <definedName name="IQ_POSTAGE_FFIEC">"c13051"</definedName>
    <definedName name="IQ_POSTPAID_CHURN">"c2121"</definedName>
    <definedName name="IQ_POSTPAID_SUBS">"c2118"</definedName>
    <definedName name="IQ_POTENTIAL_UPSIDE">"c1855"</definedName>
    <definedName name="IQ_POTENTIAL_UPSIDE_CIQ">"c3799"</definedName>
    <definedName name="IQ_PP_ATTRIB_ORE_RESERVES_ALUM">"c9218"</definedName>
    <definedName name="IQ_PP_ATTRIB_ORE_RESERVES_COP">"c9162"</definedName>
    <definedName name="IQ_PP_ATTRIB_ORE_RESERVES_DIAM">"c9642"</definedName>
    <definedName name="IQ_PP_ATTRIB_ORE_RESERVES_GOLD">"c9003"</definedName>
    <definedName name="IQ_PP_ATTRIB_ORE_RESERVES_IRON">"c9377"</definedName>
    <definedName name="IQ_PP_ATTRIB_ORE_RESERVES_LEAD">"c9430"</definedName>
    <definedName name="IQ_PP_ATTRIB_ORE_RESERVES_MANG">"c9483"</definedName>
    <definedName name="IQ_PP_ATTRIB_ORE_RESERVES_MOLYB">"c9695"</definedName>
    <definedName name="IQ_PP_ATTRIB_ORE_RESERVES_NICK">"c9271"</definedName>
    <definedName name="IQ_PP_ATTRIB_ORE_RESERVES_PLAT">"c9109"</definedName>
    <definedName name="IQ_PP_ATTRIB_ORE_RESERVES_SILVER">"c9056"</definedName>
    <definedName name="IQ_PP_ATTRIB_ORE_RESERVES_TITAN">"c9536"</definedName>
    <definedName name="IQ_PP_ATTRIB_ORE_RESERVES_URAN">"c9589"</definedName>
    <definedName name="IQ_PP_ATTRIB_ORE_RESERVES_ZINC">"c9324"</definedName>
    <definedName name="IQ_PP_ORE_RESERVES_ALUM">"c9211"</definedName>
    <definedName name="IQ_PP_ORE_RESERVES_COP">"c9155"</definedName>
    <definedName name="IQ_PP_ORE_RESERVES_DIAM">"c9635"</definedName>
    <definedName name="IQ_PP_ORE_RESERVES_GOLD">"c8996"</definedName>
    <definedName name="IQ_PP_ORE_RESERVES_IRON">"c9370"</definedName>
    <definedName name="IQ_PP_ORE_RESERVES_LEAD">"c9423"</definedName>
    <definedName name="IQ_PP_ORE_RESERVES_MANG">"c9476"</definedName>
    <definedName name="IQ_PP_ORE_RESERVES_MOLYB">"c9688"</definedName>
    <definedName name="IQ_PP_ORE_RESERVES_NICK">"c9264"</definedName>
    <definedName name="IQ_PP_ORE_RESERVES_PLAT">"c9102"</definedName>
    <definedName name="IQ_PP_ORE_RESERVES_SILVER">"c9049"</definedName>
    <definedName name="IQ_PP_ORE_RESERVES_TITAN">"c9529"</definedName>
    <definedName name="IQ_PP_ORE_RESERVES_URAN">"c9582"</definedName>
    <definedName name="IQ_PP_ORE_RESERVES_ZINC">"c9317"</definedName>
    <definedName name="IQ_PP_RECOV_ATTRIB_RESERVES_ALUM">"c9221"</definedName>
    <definedName name="IQ_PP_RECOV_ATTRIB_RESERVES_COAL">"c9805"</definedName>
    <definedName name="IQ_PP_RECOV_ATTRIB_RESERVES_COP">"c9165"</definedName>
    <definedName name="IQ_PP_RECOV_ATTRIB_RESERVES_DIAM">"c9645"</definedName>
    <definedName name="IQ_PP_RECOV_ATTRIB_RESERVES_GOLD">"c9006"</definedName>
    <definedName name="IQ_PP_RECOV_ATTRIB_RESERVES_IRON">"c9380"</definedName>
    <definedName name="IQ_PP_RECOV_ATTRIB_RESERVES_LEAD">"c9433"</definedName>
    <definedName name="IQ_PP_RECOV_ATTRIB_RESERVES_MANG">"c9486"</definedName>
    <definedName name="IQ_PP_RECOV_ATTRIB_RESERVES_MET_COAL">"c9745"</definedName>
    <definedName name="IQ_PP_RECOV_ATTRIB_RESERVES_MOLYB">"c9698"</definedName>
    <definedName name="IQ_PP_RECOV_ATTRIB_RESERVES_NICK">"c9274"</definedName>
    <definedName name="IQ_PP_RECOV_ATTRIB_RESERVES_PLAT">"c9112"</definedName>
    <definedName name="IQ_PP_RECOV_ATTRIB_RESERVES_SILVER">"c9059"</definedName>
    <definedName name="IQ_PP_RECOV_ATTRIB_RESERVES_STEAM">"c9775"</definedName>
    <definedName name="IQ_PP_RECOV_ATTRIB_RESERVES_TITAN">"c9539"</definedName>
    <definedName name="IQ_PP_RECOV_ATTRIB_RESERVES_URAN">"c9592"</definedName>
    <definedName name="IQ_PP_RECOV_ATTRIB_RESERVES_ZINC">"c9327"</definedName>
    <definedName name="IQ_PP_RECOV_RESERVES_ALUM">"c9215"</definedName>
    <definedName name="IQ_PP_RECOV_RESERVES_COAL">"c9802"</definedName>
    <definedName name="IQ_PP_RECOV_RESERVES_COP">"c9159"</definedName>
    <definedName name="IQ_PP_RECOV_RESERVES_DIAM">"c9639"</definedName>
    <definedName name="IQ_PP_RECOV_RESERVES_GOLD">"c9000"</definedName>
    <definedName name="IQ_PP_RECOV_RESERVES_IRON">"c9374"</definedName>
    <definedName name="IQ_PP_RECOV_RESERVES_LEAD">"c9427"</definedName>
    <definedName name="IQ_PP_RECOV_RESERVES_MANG">"c9480"</definedName>
    <definedName name="IQ_PP_RECOV_RESERVES_MET_COAL">"c9742"</definedName>
    <definedName name="IQ_PP_RECOV_RESERVES_MOLYB">"c9692"</definedName>
    <definedName name="IQ_PP_RECOV_RESERVES_NICK">"c9268"</definedName>
    <definedName name="IQ_PP_RECOV_RESERVES_PLAT">"c9106"</definedName>
    <definedName name="IQ_PP_RECOV_RESERVES_SILVER">"c9053"</definedName>
    <definedName name="IQ_PP_RECOV_RESERVES_STEAM">"c9772"</definedName>
    <definedName name="IQ_PP_RECOV_RESERVES_TITAN">"c9533"</definedName>
    <definedName name="IQ_PP_RECOV_RESERVES_URAN">"c9586"</definedName>
    <definedName name="IQ_PP_RECOV_RESERVES_ZINC">"c9321"</definedName>
    <definedName name="IQ_PP_RESERVES_CALORIFIC_VALUE_COAL">"c9799"</definedName>
    <definedName name="IQ_PP_RESERVES_CALORIFIC_VALUE_MET_COAL">"c9739"</definedName>
    <definedName name="IQ_PP_RESERVES_CALORIFIC_VALUE_STEAM">"c9769"</definedName>
    <definedName name="IQ_PP_RESERVES_GRADE_ALUM">"c9212"</definedName>
    <definedName name="IQ_PP_RESERVES_GRADE_COP">"c9156"</definedName>
    <definedName name="IQ_PP_RESERVES_GRADE_DIAM">"c9636"</definedName>
    <definedName name="IQ_PP_RESERVES_GRADE_GOLD">"c8997"</definedName>
    <definedName name="IQ_PP_RESERVES_GRADE_IRON">"c9371"</definedName>
    <definedName name="IQ_PP_RESERVES_GRADE_LEAD">"c9424"</definedName>
    <definedName name="IQ_PP_RESERVES_GRADE_MANG">"c9477"</definedName>
    <definedName name="IQ_PP_RESERVES_GRADE_MOLYB">"c9689"</definedName>
    <definedName name="IQ_PP_RESERVES_GRADE_NICK">"c9265"</definedName>
    <definedName name="IQ_PP_RESERVES_GRADE_PLAT">"c9103"</definedName>
    <definedName name="IQ_PP_RESERVES_GRADE_SILVER">"c9050"</definedName>
    <definedName name="IQ_PP_RESERVES_GRADE_TITAN">"c9530"</definedName>
    <definedName name="IQ_PP_RESERVES_GRADE_URAN">"c9583"</definedName>
    <definedName name="IQ_PP_RESERVES_GRADE_ZINC">"c9318"</definedName>
    <definedName name="IQ_PPI">"c6810"</definedName>
    <definedName name="IQ_PPI_APR">"c7470"</definedName>
    <definedName name="IQ_PPI_APR_FC">"c8350"</definedName>
    <definedName name="IQ_PPI_CORE">"c6840"</definedName>
    <definedName name="IQ_PPI_CORE_APR">"c7500"</definedName>
    <definedName name="IQ_PPI_CORE_APR_FC">"c8380"</definedName>
    <definedName name="IQ_PPI_CORE_FC">"c7720"</definedName>
    <definedName name="IQ_PPI_CORE_POP">"c7060"</definedName>
    <definedName name="IQ_PPI_CORE_POP_FC">"c7940"</definedName>
    <definedName name="IQ_PPI_CORE_YOY">"c7280"</definedName>
    <definedName name="IQ_PPI_CORE_YOY_FC">"c8160"</definedName>
    <definedName name="IQ_PPI_FC">"c7690"</definedName>
    <definedName name="IQ_PPI_POP">"c7030"</definedName>
    <definedName name="IQ_PPI_POP_FC">"c7910"</definedName>
    <definedName name="IQ_PPI_YOY">"c7250"</definedName>
    <definedName name="IQ_PPI_YOY_FC">"c8130"</definedName>
    <definedName name="IQ_PRE_OPEN_COST">"c1040"</definedName>
    <definedName name="IQ_PRE_TAX_ACT_OR_EST">"c2221"</definedName>
    <definedName name="IQ_PRE_TAX_ACT_OR_EST_CIQ">"c5064"</definedName>
    <definedName name="IQ_PRE_TAX_INCOME_FDIC">"c6581"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"c6261"</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"c6262"</definedName>
    <definedName name="IQ_PREF_OTHER_REIT">"c1058"</definedName>
    <definedName name="IQ_PREF_OTHER_UTI">"c6022"</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"c6263"</definedName>
    <definedName name="IQ_PREF_REP_REIT">"c1065"</definedName>
    <definedName name="IQ_PREF_REP_UTI">"c1066"</definedName>
    <definedName name="IQ_PREF_STOCK">"c1416"</definedName>
    <definedName name="IQ_PREF_STOCK_FFIEC">"c12875"</definedName>
    <definedName name="IQ_PREF_TOT">"c1415"</definedName>
    <definedName name="IQ_PREFERRED_DEPOSITS_FFIEC">"c15312"</definedName>
    <definedName name="IQ_PREFERRED_FDIC">"c6349"</definedName>
    <definedName name="IQ_PREFERRED_LIST">"c13506"</definedName>
    <definedName name="IQ_PREMISES_EQUIPMENT_FDIC">"c6577"</definedName>
    <definedName name="IQ_PREMISES_FIXED_ASSETS_CAP_LEASES_FFIEC">"c12830"</definedName>
    <definedName name="IQ_PREMIUM_INSURANCE_CREDIT_FFIEC">"c13070"</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SIDENT_ID">"c15216"</definedName>
    <definedName name="IQ_PRESIDENT_NAME">"c15215"</definedName>
    <definedName name="IQ_PRETAX_GW_INC_DET_EST_CIQ">"c12116"</definedName>
    <definedName name="IQ_PRETAX_GW_INC_DET_EST_CURRENCY_CIQ">"c12507"</definedName>
    <definedName name="IQ_PRETAX_GW_INC_DET_EST_DATE_CIQ">"c12262"</definedName>
    <definedName name="IQ_PRETAX_GW_INC_DET_EST_INCL_CIQ">"c12390"</definedName>
    <definedName name="IQ_PRETAX_GW_INC_DET_EST_ORIGIN_CIQ">"c12631"</definedName>
    <definedName name="IQ_PRETAX_GW_INC_EST">"c1702"</definedName>
    <definedName name="IQ_PRETAX_GW_INC_EST_CIQ">"c4688"</definedName>
    <definedName name="IQ_PRETAX_GW_INC_HIGH_EST">"c1704"</definedName>
    <definedName name="IQ_PRETAX_GW_INC_HIGH_EST_CIQ">"c4690"</definedName>
    <definedName name="IQ_PRETAX_GW_INC_LOW_EST">"c1705"</definedName>
    <definedName name="IQ_PRETAX_GW_INC_LOW_EST_CIQ">"c4691"</definedName>
    <definedName name="IQ_PRETAX_GW_INC_MEDIAN_EST">"c1703"</definedName>
    <definedName name="IQ_PRETAX_GW_INC_MEDIAN_EST_CIQ">"c4689"</definedName>
    <definedName name="IQ_PRETAX_GW_INC_NUM_EST">"c1706"</definedName>
    <definedName name="IQ_PRETAX_GW_INC_NUM_EST_CIQ">"c4692"</definedName>
    <definedName name="IQ_PRETAX_GW_INC_STDDEV_EST">"c1707"</definedName>
    <definedName name="IQ_PRETAX_GW_INC_STDDEV_EST_CIQ">"c4693"</definedName>
    <definedName name="IQ_PRETAX_INC_AFTER_CAP_ALLOCATION_FOREIGN_FFIEC">"c15390"</definedName>
    <definedName name="IQ_PRETAX_INC_BEFORE_CAP_ALLOCATION_FOREIGN_FFIEC">"c15388"</definedName>
    <definedName name="IQ_PRETAX_INC_DET_EST">"c12055"</definedName>
    <definedName name="IQ_PRETAX_INC_DET_EST_CIQ">"c12115"</definedName>
    <definedName name="IQ_PRETAX_INC_DET_EST_CURRENCY">"c12462"</definedName>
    <definedName name="IQ_PRETAX_INC_DET_EST_CURRENCY_CIQ">"c12506"</definedName>
    <definedName name="IQ_PRETAX_INC_DET_EST_DATE">"c12208"</definedName>
    <definedName name="IQ_PRETAX_INC_DET_EST_DATE_CIQ">"c12261"</definedName>
    <definedName name="IQ_PRETAX_INC_DET_EST_INCL">"c12345"</definedName>
    <definedName name="IQ_PRETAX_INC_DET_EST_INCL_CIQ">"c12389"</definedName>
    <definedName name="IQ_PRETAX_INC_DET_EST_ORIGIN">"c12771"</definedName>
    <definedName name="IQ_PRETAX_INC_DET_EST_ORIGIN_CIQ">"c12630"</definedName>
    <definedName name="IQ_PRETAX_INC_EST">"c1695"</definedName>
    <definedName name="IQ_PRETAX_INC_EST_CIQ">"c4681"</definedName>
    <definedName name="IQ_PRETAX_INC_HIGH_EST">"c1697"</definedName>
    <definedName name="IQ_PRETAX_INC_HIGH_EST_CIQ">"c4683"</definedName>
    <definedName name="IQ_PRETAX_INC_LOW_EST">"c1698"</definedName>
    <definedName name="IQ_PRETAX_INC_LOW_EST_CIQ">"c4684"</definedName>
    <definedName name="IQ_PRETAX_INC_MEDIAN_EST">"c1696"</definedName>
    <definedName name="IQ_PRETAX_INC_MEDIAN_EST_CIQ">"c4682"</definedName>
    <definedName name="IQ_PRETAX_INC_NUM_EST">"c1699"</definedName>
    <definedName name="IQ_PRETAX_INC_NUM_EST_CIQ">"c4685"</definedName>
    <definedName name="IQ_PRETAX_INC_STDDEV_EST">"c1700"</definedName>
    <definedName name="IQ_PRETAX_INC_STDDEV_EST_CIQ">"c4686"</definedName>
    <definedName name="IQ_PRETAX_OPERATING_INC_AVG_ASSETS_FFIEC">"c13365"</definedName>
    <definedName name="IQ_PRETAX_REPORT_INC_DET_EST_CIQ">"c12117"</definedName>
    <definedName name="IQ_PRETAX_REPORT_INC_DET_EST_CURRENCY_CIQ">"c12508"</definedName>
    <definedName name="IQ_PRETAX_REPORT_INC_DET_EST_DATE_CIQ">"c12263"</definedName>
    <definedName name="IQ_PRETAX_REPORT_INC_DET_EST_INCL_CIQ">"c12391"</definedName>
    <definedName name="IQ_PRETAX_REPORT_INC_DET_EST_ORIGIN_CIQ">"c12719"</definedName>
    <definedName name="IQ_PRETAX_REPORT_INC_EST">"c1709"</definedName>
    <definedName name="IQ_PRETAX_REPORT_INC_EST_CIQ">"c4695"</definedName>
    <definedName name="IQ_PRETAX_REPORT_INC_HIGH_EST">"c1711"</definedName>
    <definedName name="IQ_PRETAX_REPORT_INC_HIGH_EST_CIQ">"c4697"</definedName>
    <definedName name="IQ_PRETAX_REPORT_INC_LOW_EST">"c1712"</definedName>
    <definedName name="IQ_PRETAX_REPORT_INC_LOW_EST_CIQ">"c4698"</definedName>
    <definedName name="IQ_PRETAX_REPORT_INC_MEDIAN_EST">"c1710"</definedName>
    <definedName name="IQ_PRETAX_REPORT_INC_MEDIAN_EST_CIQ">"c4696"</definedName>
    <definedName name="IQ_PRETAX_REPORT_INC_NUM_EST">"c1713"</definedName>
    <definedName name="IQ_PRETAX_REPORT_INC_NUM_EST_CIQ">"c4699"</definedName>
    <definedName name="IQ_PRETAX_REPORT_INC_STDDEV_EST">"c1714"</definedName>
    <definedName name="IQ_PRETAX_REPORT_INC_STDDEV_EST_CIQ">"c4700"</definedName>
    <definedName name="IQ_PRETAX_RETURN_ASSETS_FDIC">"c6731"</definedName>
    <definedName name="IQ_PREV_MONTHLY_FACTOR">"c8973"</definedName>
    <definedName name="IQ_PREV_MONTHLY_FACTOR_DATE">"c8974"</definedName>
    <definedName name="IQ_PRICE_CFPS_FWD">"c2237"</definedName>
    <definedName name="IQ_PRICE_CFPS_FWD_CIQ">"c4046"</definedName>
    <definedName name="IQ_PRICE_OVER_BVPS">"c1412"</definedName>
    <definedName name="IQ_PRICE_OVER_LTM_EPS">"c1413"</definedName>
    <definedName name="IQ_PRICE_PAID_FARM_INDEX">"c6948"</definedName>
    <definedName name="IQ_PRICE_PAID_FARM_INDEX_APR">"c7608"</definedName>
    <definedName name="IQ_PRICE_PAID_FARM_INDEX_APR_FC">"c8488"</definedName>
    <definedName name="IQ_PRICE_PAID_FARM_INDEX_FC">"c7828"</definedName>
    <definedName name="IQ_PRICE_PAID_FARM_INDEX_POP">"c7168"</definedName>
    <definedName name="IQ_PRICE_PAID_FARM_INDEX_POP_FC">"c8048"</definedName>
    <definedName name="IQ_PRICE_PAID_FARM_INDEX_YOY">"c7388"</definedName>
    <definedName name="IQ_PRICE_PAID_FARM_INDEX_YOY_FC">"c8268"</definedName>
    <definedName name="IQ_PRICE_TARGET">"c82"</definedName>
    <definedName name="IQ_PRICE_TARGET_BOTTOM_UP">"c5486"</definedName>
    <definedName name="IQ_PRICE_TARGET_BOTTOM_UP_CIQ">"c12023"</definedName>
    <definedName name="IQ_PRICE_TARGET_CIQ">"c3613"</definedName>
    <definedName name="IQ_PRICE_VOLATILITY_EST">"c4492"</definedName>
    <definedName name="IQ_PRICE_VOLATILITY_EST_CIQ">"c5030"</definedName>
    <definedName name="IQ_PRICE_VOLATILITY_HIGH">"c4493"</definedName>
    <definedName name="IQ_PRICE_VOLATILITY_HIGH_CIQ">"c5031"</definedName>
    <definedName name="IQ_PRICE_VOLATILITY_LOW">"c4494"</definedName>
    <definedName name="IQ_PRICE_VOLATILITY_LOW_CIQ">"c5032"</definedName>
    <definedName name="IQ_PRICE_VOLATILITY_MEDIAN">"c4495"</definedName>
    <definedName name="IQ_PRICE_VOLATILITY_MEDIAN_CIQ">"c5033"</definedName>
    <definedName name="IQ_PRICE_VOLATILITY_NUM">"c4496"</definedName>
    <definedName name="IQ_PRICE_VOLATILITY_NUM_CIQ">"c5034"</definedName>
    <definedName name="IQ_PRICE_VOLATILITY_STDDEV">"c4497"</definedName>
    <definedName name="IQ_PRICE_VOLATILITY_STDDEV_CIQ">"c5035"</definedName>
    <definedName name="IQ_PRICEDATE">"c1069"</definedName>
    <definedName name="IQ_PRICING_DATE">"c1613"</definedName>
    <definedName name="IQ_PRIMARY_EPS_TYPE">"c4498"</definedName>
    <definedName name="IQ_PRIMARY_EPS_TYPE_CIQ">"c5036"</definedName>
    <definedName name="IQ_PRIMARY_INDUSTRY">"c1070"</definedName>
    <definedName name="IQ_PRINCIPAL_AMT">"c2157"</definedName>
    <definedName name="IQ_PRIVATE_CONST_TOTAL_APR_FC_UNUSED">"c8559"</definedName>
    <definedName name="IQ_PRIVATE_CONST_TOTAL_APR_FC_UNUSED_UNUSED_UNUSED">"c8559"</definedName>
    <definedName name="IQ_PRIVATE_CONST_TOTAL_APR_UNUSED">"c7679"</definedName>
    <definedName name="IQ_PRIVATE_CONST_TOTAL_APR_UNUSED_UNUSED_UNUSED">"c7679"</definedName>
    <definedName name="IQ_PRIVATE_CONST_TOTAL_FC_UNUSED">"c7899"</definedName>
    <definedName name="IQ_PRIVATE_CONST_TOTAL_FC_UNUSED_UNUSED_UNUSED">"c7899"</definedName>
    <definedName name="IQ_PRIVATE_CONST_TOTAL_POP_FC_UNUSED">"c8119"</definedName>
    <definedName name="IQ_PRIVATE_CONST_TOTAL_POP_FC_UNUSED_UNUSED_UNUSED">"c8119"</definedName>
    <definedName name="IQ_PRIVATE_CONST_TOTAL_POP_UNUSED">"c7239"</definedName>
    <definedName name="IQ_PRIVATE_CONST_TOTAL_POP_UNUSED_UNUSED_UNUSED">"c7239"</definedName>
    <definedName name="IQ_PRIVATE_CONST_TOTAL_UNUSED">"c7019"</definedName>
    <definedName name="IQ_PRIVATE_CONST_TOTAL_UNUSED_UNUSED_UNUSED">"c7019"</definedName>
    <definedName name="IQ_PRIVATE_CONST_TOTAL_YOY_FC_UNUSED">"c8339"</definedName>
    <definedName name="IQ_PRIVATE_CONST_TOTAL_YOY_FC_UNUSED_UNUSED_UNUSED">"c8339"</definedName>
    <definedName name="IQ_PRIVATE_CONST_TOTAL_YOY_UNUSED">"c7459"</definedName>
    <definedName name="IQ_PRIVATE_CONST_TOTAL_YOY_UNUSED_UNUSED_UNUSED">"c7459"</definedName>
    <definedName name="IQ_PRIVATE_FIXED_INVEST_TOTAL">"c12006"</definedName>
    <definedName name="IQ_PRIVATE_FIXED_INVEST_TOTAL_APR">"c12009"</definedName>
    <definedName name="IQ_PRIVATE_FIXED_INVEST_TOTAL_POP">"c12007"</definedName>
    <definedName name="IQ_PRIVATE_FIXED_INVEST_TOTAL_YOY">"c12008"</definedName>
    <definedName name="IQ_PRIVATE_NONRES_CONST_IMPROV">"c6949"</definedName>
    <definedName name="IQ_PRIVATE_NONRES_CONST_IMPROV_APR">"c7609"</definedName>
    <definedName name="IQ_PRIVATE_NONRES_CONST_IMPROV_APR_FC">"c8489"</definedName>
    <definedName name="IQ_PRIVATE_NONRES_CONST_IMPROV_FC">"c7829"</definedName>
    <definedName name="IQ_PRIVATE_NONRES_CONST_IMPROV_POP">"c7169"</definedName>
    <definedName name="IQ_PRIVATE_NONRES_CONST_IMPROV_POP_FC">"c8049"</definedName>
    <definedName name="IQ_PRIVATE_NONRES_CONST_IMPROV_YOY">"c7389"</definedName>
    <definedName name="IQ_PRIVATE_NONRES_CONST_IMPROV_YOY_FC">"c8269"</definedName>
    <definedName name="IQ_PRIVATE_RES_CONST_IMPROV">"c6950"</definedName>
    <definedName name="IQ_PRIVATE_RES_CONST_IMPROV_APR">"c7610"</definedName>
    <definedName name="IQ_PRIVATE_RES_CONST_IMPROV_APR_FC">"c8490"</definedName>
    <definedName name="IQ_PRIVATE_RES_CONST_IMPROV_FC">"c7830"</definedName>
    <definedName name="IQ_PRIVATE_RES_CONST_IMPROV_POP">"c7170"</definedName>
    <definedName name="IQ_PRIVATE_RES_CONST_IMPROV_POP_FC">"c8050"</definedName>
    <definedName name="IQ_PRIVATE_RES_CONST_IMPROV_YOY">"c7390"</definedName>
    <definedName name="IQ_PRIVATE_RES_CONST_IMPROV_YOY_FC">"c8270"</definedName>
    <definedName name="IQ_PRIVATE_RES_CONST_REAL_APR_FC_UNUSED">"c8535"</definedName>
    <definedName name="IQ_PRIVATE_RES_CONST_REAL_APR_FC_UNUSED_UNUSED_UNUSED">"c8535"</definedName>
    <definedName name="IQ_PRIVATE_RES_CONST_REAL_APR_UNUSED">"c7655"</definedName>
    <definedName name="IQ_PRIVATE_RES_CONST_REAL_APR_UNUSED_UNUSED_UNUSED">"c7655"</definedName>
    <definedName name="IQ_PRIVATE_RES_CONST_REAL_FC_UNUSED">"c7875"</definedName>
    <definedName name="IQ_PRIVATE_RES_CONST_REAL_FC_UNUSED_UNUSED_UNUSED">"c7875"</definedName>
    <definedName name="IQ_PRIVATE_RES_CONST_REAL_POP_FC_UNUSED">"c8095"</definedName>
    <definedName name="IQ_PRIVATE_RES_CONST_REAL_POP_FC_UNUSED_UNUSED_UNUSED">"c8095"</definedName>
    <definedName name="IQ_PRIVATE_RES_CONST_REAL_POP_UNUSED">"c7215"</definedName>
    <definedName name="IQ_PRIVATE_RES_CONST_REAL_POP_UNUSED_UNUSED_UNUSED">"c7215"</definedName>
    <definedName name="IQ_PRIVATE_RES_CONST_REAL_UNUSED">"c6995"</definedName>
    <definedName name="IQ_PRIVATE_RES_CONST_REAL_UNUSED_UNUSED_UNUSED">"c6995"</definedName>
    <definedName name="IQ_PRIVATE_RES_CONST_REAL_YOY_FC_UNUSED">"c8315"</definedName>
    <definedName name="IQ_PRIVATE_RES_CONST_REAL_YOY_FC_UNUSED_UNUSED_UNUSED">"c8315"</definedName>
    <definedName name="IQ_PRIVATE_RES_CONST_REAL_YOY_UNUSED">"c7435"</definedName>
    <definedName name="IQ_PRIVATE_RES_CONST_REAL_YOY_UNUSED_UNUSED_UNUSED">"c7435"</definedName>
    <definedName name="IQ_PRIVATE_RES_FIXED_INVEST_REAL">"c11986"</definedName>
    <definedName name="IQ_PRIVATE_RES_FIXED_INVEST_REAL_APR">"c11989"</definedName>
    <definedName name="IQ_PRIVATE_RES_FIXED_INVEST_REAL_POP">"c11987"</definedName>
    <definedName name="IQ_PRIVATE_RES_FIXED_INVEST_REAL_YOY">"c11988"</definedName>
    <definedName name="IQ_PRIVATELY_ISSUED_MORTGAGE_BACKED_SECURITIES_FDIC">"c6407"</definedName>
    <definedName name="IQ_PRIVATELY_ISSUED_MORTGAGE_PASS_THROUGHS_FDIC">"c6405"</definedName>
    <definedName name="IQ_PRO_FORMA_BASIC_EPS">"c1614"</definedName>
    <definedName name="IQ_PRO_FORMA_DILUT_EPS">"c1615"</definedName>
    <definedName name="IQ_PRO_FORMA_NET_INC">"c1452"</definedName>
    <definedName name="IQ_PROBABLE_ATTRIB_ORE_RESERVES_ALUM">"c9217"</definedName>
    <definedName name="IQ_PROBABLE_ATTRIB_ORE_RESERVES_COP">"c9161"</definedName>
    <definedName name="IQ_PROBABLE_ATTRIB_ORE_RESERVES_DIAM">"c9641"</definedName>
    <definedName name="IQ_PROBABLE_ATTRIB_ORE_RESERVES_GOLD">"c9002"</definedName>
    <definedName name="IQ_PROBABLE_ATTRIB_ORE_RESERVES_IRON">"c9376"</definedName>
    <definedName name="IQ_PROBABLE_ATTRIB_ORE_RESERVES_LEAD">"c9429"</definedName>
    <definedName name="IQ_PROBABLE_ATTRIB_ORE_RESERVES_MANG">"c9482"</definedName>
    <definedName name="IQ_PROBABLE_ATTRIB_ORE_RESERVES_MOLYB">"c9694"</definedName>
    <definedName name="IQ_PROBABLE_ATTRIB_ORE_RESERVES_NICK">"c9270"</definedName>
    <definedName name="IQ_PROBABLE_ATTRIB_ORE_RESERVES_PLAT">"c9108"</definedName>
    <definedName name="IQ_PROBABLE_ATTRIB_ORE_RESERVES_SILVER">"c9055"</definedName>
    <definedName name="IQ_PROBABLE_ATTRIB_ORE_RESERVES_TITAN">"c9535"</definedName>
    <definedName name="IQ_PROBABLE_ATTRIB_ORE_RESERVES_URAN">"c9588"</definedName>
    <definedName name="IQ_PROBABLE_ATTRIB_ORE_RESERVES_ZINC">"c9323"</definedName>
    <definedName name="IQ_PROBABLE_ORE_RESERVES_ALUM">"c9209"</definedName>
    <definedName name="IQ_PROBABLE_ORE_RESERVES_COP">"c9153"</definedName>
    <definedName name="IQ_PROBABLE_ORE_RESERVES_DIAM">"c9633"</definedName>
    <definedName name="IQ_PROBABLE_ORE_RESERVES_GOLD">"c8994"</definedName>
    <definedName name="IQ_PROBABLE_ORE_RESERVES_IRON">"c9368"</definedName>
    <definedName name="IQ_PROBABLE_ORE_RESERVES_LEAD">"c9421"</definedName>
    <definedName name="IQ_PROBABLE_ORE_RESERVES_MANG">"c9474"</definedName>
    <definedName name="IQ_PROBABLE_ORE_RESERVES_MOLYB">"c9686"</definedName>
    <definedName name="IQ_PROBABLE_ORE_RESERVES_NICK">"c9262"</definedName>
    <definedName name="IQ_PROBABLE_ORE_RESERVES_PLAT">"c9100"</definedName>
    <definedName name="IQ_PROBABLE_ORE_RESERVES_SILVER">"c9047"</definedName>
    <definedName name="IQ_PROBABLE_ORE_RESERVES_TITAN">"c9527"</definedName>
    <definedName name="IQ_PROBABLE_ORE_RESERVES_URAN">"c9580"</definedName>
    <definedName name="IQ_PROBABLE_ORE_RESERVES_ZINC">"c9315"</definedName>
    <definedName name="IQ_PROBABLE_RECOV_ATTRIB_RESERVES_ALUM">"c9220"</definedName>
    <definedName name="IQ_PROBABLE_RECOV_ATTRIB_RESERVES_COAL">"c9804"</definedName>
    <definedName name="IQ_PROBABLE_RECOV_ATTRIB_RESERVES_COP">"c9164"</definedName>
    <definedName name="IQ_PROBABLE_RECOV_ATTRIB_RESERVES_DIAM">"c9644"</definedName>
    <definedName name="IQ_PROBABLE_RECOV_ATTRIB_RESERVES_GOLD">"c9005"</definedName>
    <definedName name="IQ_PROBABLE_RECOV_ATTRIB_RESERVES_IRON">"c9379"</definedName>
    <definedName name="IQ_PROBABLE_RECOV_ATTRIB_RESERVES_LEAD">"c9432"</definedName>
    <definedName name="IQ_PROBABLE_RECOV_ATTRIB_RESERVES_MANG">"c9485"</definedName>
    <definedName name="IQ_PROBABLE_RECOV_ATTRIB_RESERVES_MET_COAL">"c9744"</definedName>
    <definedName name="IQ_PROBABLE_RECOV_ATTRIB_RESERVES_MOLYB">"c9697"</definedName>
    <definedName name="IQ_PROBABLE_RECOV_ATTRIB_RESERVES_NICK">"c9273"</definedName>
    <definedName name="IQ_PROBABLE_RECOV_ATTRIB_RESERVES_PLAT">"c9111"</definedName>
    <definedName name="IQ_PROBABLE_RECOV_ATTRIB_RESERVES_SILVER">"c9058"</definedName>
    <definedName name="IQ_PROBABLE_RECOV_ATTRIB_RESERVES_STEAM">"c9774"</definedName>
    <definedName name="IQ_PROBABLE_RECOV_ATTRIB_RESERVES_TITAN">"c9538"</definedName>
    <definedName name="IQ_PROBABLE_RECOV_ATTRIB_RESERVES_URAN">"c9591"</definedName>
    <definedName name="IQ_PROBABLE_RECOV_ATTRIB_RESERVES_ZINC">"c9326"</definedName>
    <definedName name="IQ_PROBABLE_RECOV_RESERVES_ALUM">"c9214"</definedName>
    <definedName name="IQ_PROBABLE_RECOV_RESERVES_COAL">"c9801"</definedName>
    <definedName name="IQ_PROBABLE_RECOV_RESERVES_COP">"c9158"</definedName>
    <definedName name="IQ_PROBABLE_RECOV_RESERVES_DIAM">"c9638"</definedName>
    <definedName name="IQ_PROBABLE_RECOV_RESERVES_GOLD">"c8999"</definedName>
    <definedName name="IQ_PROBABLE_RECOV_RESERVES_IRON">"c9373"</definedName>
    <definedName name="IQ_PROBABLE_RECOV_RESERVES_LEAD">"c9426"</definedName>
    <definedName name="IQ_PROBABLE_RECOV_RESERVES_MANG">"c9479"</definedName>
    <definedName name="IQ_PROBABLE_RECOV_RESERVES_MET_COAL">"c9741"</definedName>
    <definedName name="IQ_PROBABLE_RECOV_RESERVES_MOLYB">"c9691"</definedName>
    <definedName name="IQ_PROBABLE_RECOV_RESERVES_NICK">"c9267"</definedName>
    <definedName name="IQ_PROBABLE_RECOV_RESERVES_PLAT">"c9105"</definedName>
    <definedName name="IQ_PROBABLE_RECOV_RESERVES_SILVER">"c9052"</definedName>
    <definedName name="IQ_PROBABLE_RECOV_RESERVES_STEAM">"c9771"</definedName>
    <definedName name="IQ_PROBABLE_RECOV_RESERVES_TITAN">"c9532"</definedName>
    <definedName name="IQ_PROBABLE_RECOV_RESERVES_URAN">"c9585"</definedName>
    <definedName name="IQ_PROBABLE_RECOV_RESERVES_ZINC">"c9320"</definedName>
    <definedName name="IQ_PROBABLE_RESERVES_CALORIFIC_VALUE_COAL">"c9798"</definedName>
    <definedName name="IQ_PROBABLE_RESERVES_CALORIFIC_VALUE_MET_COAL">"c9738"</definedName>
    <definedName name="IQ_PROBABLE_RESERVES_CALORIFIC_VALUE_STEAM">"c9768"</definedName>
    <definedName name="IQ_PROBABLE_RESERVES_GRADE_ALUM">"c9210"</definedName>
    <definedName name="IQ_PROBABLE_RESERVES_GRADE_COP">"c9154"</definedName>
    <definedName name="IQ_PROBABLE_RESERVES_GRADE_DIAM">"c9634"</definedName>
    <definedName name="IQ_PROBABLE_RESERVES_GRADE_GOLD">"c8995"</definedName>
    <definedName name="IQ_PROBABLE_RESERVES_GRADE_IRON">"c9369"</definedName>
    <definedName name="IQ_PROBABLE_RESERVES_GRADE_LEAD">"c9422"</definedName>
    <definedName name="IQ_PROBABLE_RESERVES_GRADE_MANG">"c9475"</definedName>
    <definedName name="IQ_PROBABLE_RESERVES_GRADE_MOLYB">"c9687"</definedName>
    <definedName name="IQ_PROBABLE_RESERVES_GRADE_NICK">"c9263"</definedName>
    <definedName name="IQ_PROBABLE_RESERVES_GRADE_PLAT">"c9101"</definedName>
    <definedName name="IQ_PROBABLE_RESERVES_GRADE_SILVER">"c9048"</definedName>
    <definedName name="IQ_PROBABLE_RESERVES_GRADE_TITAN">"c9528"</definedName>
    <definedName name="IQ_PROBABLE_RESERVES_GRADE_URAN">"c9581"</definedName>
    <definedName name="IQ_PROBABLE_RESERVES_GRADE_ZINC">"c9316"</definedName>
    <definedName name="IQ_PRODUCTION_COST_ALUM">"c9253"</definedName>
    <definedName name="IQ_PRODUCTION_COST_COAL">"c9826"</definedName>
    <definedName name="IQ_PRODUCTION_COST_COP">"c9200"</definedName>
    <definedName name="IQ_PRODUCTION_COST_DIAM">"c9677"</definedName>
    <definedName name="IQ_PRODUCTION_COST_GOLD">"c9038"</definedName>
    <definedName name="IQ_PRODUCTION_COST_IRON">"c9412"</definedName>
    <definedName name="IQ_PRODUCTION_COST_LEAD">"c9465"</definedName>
    <definedName name="IQ_PRODUCTION_COST_MANG">"c9518"</definedName>
    <definedName name="IQ_PRODUCTION_COST_MET_COAL">"c9763"</definedName>
    <definedName name="IQ_PRODUCTION_COST_MOLYB">"c9730"</definedName>
    <definedName name="IQ_PRODUCTION_COST_NICK">"c9306"</definedName>
    <definedName name="IQ_PRODUCTION_COST_PLAT">"c9144"</definedName>
    <definedName name="IQ_PRODUCTION_COST_SILVER">"c9091"</definedName>
    <definedName name="IQ_PRODUCTION_COST_STEAM">"c9793"</definedName>
    <definedName name="IQ_PRODUCTION_COST_TITAN">"c9571"</definedName>
    <definedName name="IQ_PRODUCTION_COST_URAN">"c9624"</definedName>
    <definedName name="IQ_PRODUCTION_COST_ZINC">"c9359"</definedName>
    <definedName name="IQ_PROFESSIONAL">"c1071"</definedName>
    <definedName name="IQ_PROFESSIONAL_ASSISTANT_EMAIL">"c15169"</definedName>
    <definedName name="IQ_PROFESSIONAL_ASSISTANT_FAX">"c15171"</definedName>
    <definedName name="IQ_PROFESSIONAL_ASSISTANT_NAME">"c15168"</definedName>
    <definedName name="IQ_PROFESSIONAL_ASSISTANT_PHONE">"c15170"</definedName>
    <definedName name="IQ_PROFESSIONAL_BACKGROUND">"c15161"</definedName>
    <definedName name="IQ_PROFESSIONAL_DIRECT_FAX">"c15166"</definedName>
    <definedName name="IQ_PROFESSIONAL_DIRECT_PHONE">"c15165"</definedName>
    <definedName name="IQ_PROFESSIONAL_EMAIL">"c15167"</definedName>
    <definedName name="IQ_PROFESSIONAL_ID">"c13755"</definedName>
    <definedName name="IQ_PROFESSIONAL_MAIN_FAX">"c15164"</definedName>
    <definedName name="IQ_PROFESSIONAL_MAIN_PHONE">"c15163"</definedName>
    <definedName name="IQ_PROFESSIONAL_OFFICE_ADDRESS">"c15162"</definedName>
    <definedName name="IQ_PROFESSIONAL_TITLE">"c1072"</definedName>
    <definedName name="IQ_PROFIT_AFTER_COST_CAPITAL_NEW_BUSINESS">"c9969"</definedName>
    <definedName name="IQ_PROFIT_BEFORE_COST_CAPITAL_NEW_BUSINESS">"c9967"</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ED_ATTRIB_ORE_RESERVES_ALUM">"c9216"</definedName>
    <definedName name="IQ_PROVED_ATTRIB_ORE_RESERVES_COP">"c9160"</definedName>
    <definedName name="IQ_PROVED_ATTRIB_ORE_RESERVES_DIAM">"c9640"</definedName>
    <definedName name="IQ_PROVED_ATTRIB_ORE_RESERVES_GOLD">"c9001"</definedName>
    <definedName name="IQ_PROVED_ATTRIB_ORE_RESERVES_IRON">"c9375"</definedName>
    <definedName name="IQ_PROVED_ATTRIB_ORE_RESERVES_LEAD">"c9428"</definedName>
    <definedName name="IQ_PROVED_ATTRIB_ORE_RESERVES_MANG">"c9481"</definedName>
    <definedName name="IQ_PROVED_ATTRIB_ORE_RESERVES_MOLYB">"c9693"</definedName>
    <definedName name="IQ_PROVED_ATTRIB_ORE_RESERVES_NICK">"c9269"</definedName>
    <definedName name="IQ_PROVED_ATTRIB_ORE_RESERVES_PLAT">"c9107"</definedName>
    <definedName name="IQ_PROVED_ATTRIB_ORE_RESERVES_SILVER">"c9054"</definedName>
    <definedName name="IQ_PROVED_ATTRIB_ORE_RESERVES_TITAN">"c9534"</definedName>
    <definedName name="IQ_PROVED_ATTRIB_ORE_RESERVES_URAN">"c9587"</definedName>
    <definedName name="IQ_PROVED_ATTRIB_ORE_RESERVES_ZINC">"c9322"</definedName>
    <definedName name="IQ_PROVED_ORE_RESERVES_ALUM">"c9207"</definedName>
    <definedName name="IQ_PROVED_ORE_RESERVES_COP">"c9151"</definedName>
    <definedName name="IQ_PROVED_ORE_RESERVES_DIAM">"c9631"</definedName>
    <definedName name="IQ_PROVED_ORE_RESERVES_GOLD">"c8992"</definedName>
    <definedName name="IQ_PROVED_ORE_RESERVES_IRON">"c9366"</definedName>
    <definedName name="IQ_PROVED_ORE_RESERVES_LEAD">"c9419"</definedName>
    <definedName name="IQ_PROVED_ORE_RESERVES_MANG">"c9472"</definedName>
    <definedName name="IQ_PROVED_ORE_RESERVES_MOLYB">"c9684"</definedName>
    <definedName name="IQ_PROVED_ORE_RESERVES_NICK">"c9260"</definedName>
    <definedName name="IQ_PROVED_ORE_RESERVES_PLAT">"c9098"</definedName>
    <definedName name="IQ_PROVED_ORE_RESERVES_SILVER">"c9045"</definedName>
    <definedName name="IQ_PROVED_ORE_RESERVES_TITAN">"c9525"</definedName>
    <definedName name="IQ_PROVED_ORE_RESERVES_URAN">"c9578"</definedName>
    <definedName name="IQ_PROVED_ORE_RESERVES_ZINC">"c9313"</definedName>
    <definedName name="IQ_PROVED_RECOV_ATTRIB_RESERVES_ALUM">"c9219"</definedName>
    <definedName name="IQ_PROVED_RECOV_ATTRIB_RESERVES_COAL">"c9803"</definedName>
    <definedName name="IQ_PROVED_RECOV_ATTRIB_RESERVES_COP">"c9163"</definedName>
    <definedName name="IQ_PROVED_RECOV_ATTRIB_RESERVES_DIAM">"c9643"</definedName>
    <definedName name="IQ_PROVED_RECOV_ATTRIB_RESERVES_GOLD">"c9004"</definedName>
    <definedName name="IQ_PROVED_RECOV_ATTRIB_RESERVES_IRON">"c9378"</definedName>
    <definedName name="IQ_PROVED_RECOV_ATTRIB_RESERVES_LEAD">"c9431"</definedName>
    <definedName name="IQ_PROVED_RECOV_ATTRIB_RESERVES_MANG">"c9484"</definedName>
    <definedName name="IQ_PROVED_RECOV_ATTRIB_RESERVES_MET_COAL">"c9743"</definedName>
    <definedName name="IQ_PROVED_RECOV_ATTRIB_RESERVES_MOLYB">"c9696"</definedName>
    <definedName name="IQ_PROVED_RECOV_ATTRIB_RESERVES_NICK">"c9272"</definedName>
    <definedName name="IQ_PROVED_RECOV_ATTRIB_RESERVES_PLAT">"c9110"</definedName>
    <definedName name="IQ_PROVED_RECOV_ATTRIB_RESERVES_SILVER">"c9057"</definedName>
    <definedName name="IQ_PROVED_RECOV_ATTRIB_RESERVES_STEAM">"c9773"</definedName>
    <definedName name="IQ_PROVED_RECOV_ATTRIB_RESERVES_TITAN">"c9537"</definedName>
    <definedName name="IQ_PROVED_RECOV_ATTRIB_RESERVES_URAN">"c9590"</definedName>
    <definedName name="IQ_PROVED_RECOV_ATTRIB_RESERVES_ZINC">"c9325"</definedName>
    <definedName name="IQ_PROVED_RECOV_RESERVES_ALUM">"c9213"</definedName>
    <definedName name="IQ_PROVED_RECOV_RESERVES_COAL">"c9800"</definedName>
    <definedName name="IQ_PROVED_RECOV_RESERVES_COP">"c9157"</definedName>
    <definedName name="IQ_PROVED_RECOV_RESERVES_DIAM">"c9637"</definedName>
    <definedName name="IQ_PROVED_RECOV_RESERVES_GOLD">"c8998"</definedName>
    <definedName name="IQ_PROVED_RECOV_RESERVES_IRON">"c9372"</definedName>
    <definedName name="IQ_PROVED_RECOV_RESERVES_LEAD">"c9425"</definedName>
    <definedName name="IQ_PROVED_RECOV_RESERVES_MANG">"c9478"</definedName>
    <definedName name="IQ_PROVED_RECOV_RESERVES_MET_COAL">"c9740"</definedName>
    <definedName name="IQ_PROVED_RECOV_RESERVES_MOLYB">"c9690"</definedName>
    <definedName name="IQ_PROVED_RECOV_RESERVES_NICK">"c9266"</definedName>
    <definedName name="IQ_PROVED_RECOV_RESERVES_PLAT">"c9104"</definedName>
    <definedName name="IQ_PROVED_RECOV_RESERVES_SILVER">"c9051"</definedName>
    <definedName name="IQ_PROVED_RECOV_RESERVES_STEAM">"c9770"</definedName>
    <definedName name="IQ_PROVED_RECOV_RESERVES_TITAN">"c9531"</definedName>
    <definedName name="IQ_PROVED_RECOV_RESERVES_URAN">"c9584"</definedName>
    <definedName name="IQ_PROVED_RECOV_RESERVES_ZINC">"c9319"</definedName>
    <definedName name="IQ_PROVED_RESERVES_CALORIFIC_VALUE_COAL">"c9797"</definedName>
    <definedName name="IQ_PROVED_RESERVES_CALORIFIC_VALUE_MET_COAL">"c9737"</definedName>
    <definedName name="IQ_PROVED_RESERVES_CALORIFIC_VALUE_STEAM">"c9767"</definedName>
    <definedName name="IQ_PROVED_RESERVES_GRADE_ALUM">"c9208"</definedName>
    <definedName name="IQ_PROVED_RESERVES_GRADE_COP">"c9152"</definedName>
    <definedName name="IQ_PROVED_RESERVES_GRADE_DIAM">"c9632"</definedName>
    <definedName name="IQ_PROVED_RESERVES_GRADE_GOLD">"c8993"</definedName>
    <definedName name="IQ_PROVED_RESERVES_GRADE_IRON">"c9367"</definedName>
    <definedName name="IQ_PROVED_RESERVES_GRADE_LEAD">"c9420"</definedName>
    <definedName name="IQ_PROVED_RESERVES_GRADE_MANG">"c9473"</definedName>
    <definedName name="IQ_PROVED_RESERVES_GRADE_MOLYB">"c9685"</definedName>
    <definedName name="IQ_PROVED_RESERVES_GRADE_NICK">"c9261"</definedName>
    <definedName name="IQ_PROVED_RESERVES_GRADE_PLAT">"c9099"</definedName>
    <definedName name="IQ_PROVED_RESERVES_GRADE_SILVER">"c9046"</definedName>
    <definedName name="IQ_PROVED_RESERVES_GRADE_TITAN">"c9526"</definedName>
    <definedName name="IQ_PROVED_RESERVES_GRADE_URAN">"c9579"</definedName>
    <definedName name="IQ_PROVED_RESERVES_GRADE_ZINC">"c9314"</definedName>
    <definedName name="IQ_PROVISION_10YR_ANN_CAGR">"c6135"</definedName>
    <definedName name="IQ_PROVISION_10YR_ANN_GROWTH">"c1077"</definedName>
    <definedName name="IQ_PROVISION_1YR_ANN_GROWTH">"c1078"</definedName>
    <definedName name="IQ_PROVISION_2YR_ANN_CAGR">"c6136"</definedName>
    <definedName name="IQ_PROVISION_2YR_ANN_GROWTH">"c1079"</definedName>
    <definedName name="IQ_PROVISION_3YR_ANN_CAGR">"c6137"</definedName>
    <definedName name="IQ_PROVISION_3YR_ANN_GROWTH">"c1080"</definedName>
    <definedName name="IQ_PROVISION_5YR_ANN_CAGR">"c6138"</definedName>
    <definedName name="IQ_PROVISION_5YR_ANN_GROWTH">"c1081"</definedName>
    <definedName name="IQ_PROVISION_7YR_ANN_CAGR">"c6139"</definedName>
    <definedName name="IQ_PROVISION_7YR_ANN_GROWTH">"c1082"</definedName>
    <definedName name="IQ_PROVISION_CHARGE_OFFS">"c1083"</definedName>
    <definedName name="IQ_PROVISION_LL_FFIEC">"c13019"</definedName>
    <definedName name="IQ_PROVISION_LOSSES_AVG_ASSETS_FFIEC">"c13362"</definedName>
    <definedName name="IQ_PROVISION_LOSSES_AVG_LOANS_FFIEC">"c13470"</definedName>
    <definedName name="IQ_PROVISION_LOSSES_NET_LOSSES_FFIEC">"c13471"</definedName>
    <definedName name="IQ_PTBV">"c1084"</definedName>
    <definedName name="IQ_PTBV_AVG">"c1085"</definedName>
    <definedName name="IQ_PURCHASE_FOREIGN_CURRENCIES_FDIC">"c6513"</definedName>
    <definedName name="IQ_PURCHASE_TREASURY_FFIEC">"c12966"</definedName>
    <definedName name="IQ_PURCHASED_CREDIT_RELS_SERVICING_ASSETS_FFIEC">"c12839"</definedName>
    <definedName name="IQ_PURCHASED_OPTION_CONTRACTS_FDIC">"c6510"</definedName>
    <definedName name="IQ_PURCHASED_OPTION_CONTRACTS_FX_RISK_FDIC">"c6515"</definedName>
    <definedName name="IQ_PURCHASED_OPTION_CONTRACTS_NON_FX_IR_FDIC">"c6520"</definedName>
    <definedName name="IQ_PURCHASES_EQUIP_NONRES_SAAR_APR_FC_UNUSED">"c8491"</definedName>
    <definedName name="IQ_PURCHASES_EQUIP_NONRES_SAAR_APR_FC_UNUSED_UNUSED_UNUSED">"c8491"</definedName>
    <definedName name="IQ_PURCHASES_EQUIP_NONRES_SAAR_APR_UNUSED">"c7611"</definedName>
    <definedName name="IQ_PURCHASES_EQUIP_NONRES_SAAR_APR_UNUSED_UNUSED_UNUSED">"c7611"</definedName>
    <definedName name="IQ_PURCHASES_EQUIP_NONRES_SAAR_FC_UNUSED">"c7831"</definedName>
    <definedName name="IQ_PURCHASES_EQUIP_NONRES_SAAR_FC_UNUSED_UNUSED_UNUSED">"c7831"</definedName>
    <definedName name="IQ_PURCHASES_EQUIP_NONRES_SAAR_POP_FC_UNUSED">"c8051"</definedName>
    <definedName name="IQ_PURCHASES_EQUIP_NONRES_SAAR_POP_FC_UNUSED_UNUSED_UNUSED">"c8051"</definedName>
    <definedName name="IQ_PURCHASES_EQUIP_NONRES_SAAR_POP_UNUSED">"c7171"</definedName>
    <definedName name="IQ_PURCHASES_EQUIP_NONRES_SAAR_POP_UNUSED_UNUSED_UNUSED">"c7171"</definedName>
    <definedName name="IQ_PURCHASES_EQUIP_NONRES_SAAR_UNUSED">"c6951"</definedName>
    <definedName name="IQ_PURCHASES_EQUIP_NONRES_SAAR_UNUSED_UNUSED_UNUSED">"c6951"</definedName>
    <definedName name="IQ_PURCHASES_EQUIP_NONRES_SAAR_YOY_FC_UNUSED">"c8271"</definedName>
    <definedName name="IQ_PURCHASES_EQUIP_NONRES_SAAR_YOY_FC_UNUSED_UNUSED_UNUSED">"c8271"</definedName>
    <definedName name="IQ_PURCHASES_EQUIP_NONRES_SAAR_YOY_UNUSED">"c7391"</definedName>
    <definedName name="IQ_PURCHASES_EQUIP_NONRES_SAAR_YOY_UNUSED_UNUSED_UNUSED">"c7391"</definedName>
    <definedName name="IQ_PURCHASING_SECURITIES_LL_REC_FFIEC">"c12893"</definedName>
    <definedName name="IQ_PUT_DATE_SCHEDULE">"c2483"</definedName>
    <definedName name="IQ_PUT_NOTIFICATION">"c2485"</definedName>
    <definedName name="IQ_PUT_PRICE_SCHEDULE">"c2484"</definedName>
    <definedName name="IQ_PV_PREMIUMS_NEW_BUSINESS">"c9973"</definedName>
    <definedName name="IQ_QTD">750000</definedName>
    <definedName name="IQ_QUALIFYING_MINORITY_INT_T1_FFIEC">"c13135"</definedName>
    <definedName name="IQ_QUALIFYING_SUB_DEBT_REDEEM_PREF_T2_FFIEC">"c13144"</definedName>
    <definedName name="IQ_QUALIFYING_TRUST_PREFERRED_T1_FFIEC">"c13136"</definedName>
    <definedName name="IQ_QUICK_COMP">"c13750"</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_1_4_RISK_BASED_FFIEC">"c13418"</definedName>
    <definedName name="IQ_RE_ACQ_SATISFACTION_DEBTS_FFIEC">"c12832"</definedName>
    <definedName name="IQ_RE_DEPR_AMORT">"c8750"</definedName>
    <definedName name="IQ_RE_FARMLAND_GROSS_LOANS_FFIEC">"c13408"</definedName>
    <definedName name="IQ_RE_FARMLAND_RISK_BASED_FFIEC">"c13429"</definedName>
    <definedName name="IQ_RE_FCCR">"c8858"</definedName>
    <definedName name="IQ_RE_FCCR_CONT_OPS">"c8859"</definedName>
    <definedName name="IQ_RE_FCCR_INCL_DISC_OPS">"c8860"</definedName>
    <definedName name="IQ_RE_FCCR_INCL_PREF_DIV">"c8861"</definedName>
    <definedName name="IQ_RE_FCCR_INCL_PREF_DIV_CONT_OPS">"c8862"</definedName>
    <definedName name="IQ_RE_FCCR_INCL_PREF_DIV_INCL_DISC_OPS">"c8863"</definedName>
    <definedName name="IQ_RE_FIXED_CHARGES">"c8856"</definedName>
    <definedName name="IQ_RE_FIXED_CHARGES_INCL_PREF_DIV">"c8857"</definedName>
    <definedName name="IQ_RE_FORECLOSURE_FDIC">"c6332"</definedName>
    <definedName name="IQ_RE_FOREIGN_FFIEC">"c13479"</definedName>
    <definedName name="IQ_RE_GAIN_LOSS_SALE_ASSETS">"c8751"</definedName>
    <definedName name="IQ_RE_INVEST_FDIC">"c6331"</definedName>
    <definedName name="IQ_RE_LOANS_1_4_GROSS_LOANS_FFIEC">"c13397"</definedName>
    <definedName name="IQ_RE_LOANS_DOM_QUARTERLY_AVG_FFIEC">"c15476"</definedName>
    <definedName name="IQ_RE_LOANS_DOMESTIC_CHARGE_OFFS_FDIC">"c6589"</definedName>
    <definedName name="IQ_RE_LOANS_DOMESTIC_FDIC">"c6309"</definedName>
    <definedName name="IQ_RE_LOANS_DOMESTIC_NET_CHARGE_OFFS_FDIC">"c6627"</definedName>
    <definedName name="IQ_RE_LOANS_DOMESTIC_RECOVERIES_FDIC">"c6608"</definedName>
    <definedName name="IQ_RE_LOANS_FDIC">"c6308"</definedName>
    <definedName name="IQ_RE_LOANS_FOREIGN_CHARGE_OFFS_FDIC">"c6595"</definedName>
    <definedName name="IQ_RE_LOANS_FOREIGN_NET_CHARGE_OFFS_FDIC">"c6633"</definedName>
    <definedName name="IQ_RE_LOANS_FOREIGN_RECOVERIES_FDIC">"c6614"</definedName>
    <definedName name="IQ_RE_LOANS_GROSS_LOANS_FFIEC">"c13396"</definedName>
    <definedName name="IQ_RE_MAINT_CAPEX">"c8755"</definedName>
    <definedName name="IQ_RE_MINORITY_INTEREST">"c8752"</definedName>
    <definedName name="IQ_RE_NET_INCOME">"c8749"</definedName>
    <definedName name="IQ_RE_NOI">"c8864"</definedName>
    <definedName name="IQ_RE_NOI_GROWTH_SAME_PROP">"c8866"</definedName>
    <definedName name="IQ_RE_NOI_SAME_PROP">"c8865"</definedName>
    <definedName name="IQ_RE_OTHER_ITEMS">"c8753"</definedName>
    <definedName name="IQ_RE_RISK_BASED_FFIEC">"c13417"</definedName>
    <definedName name="IQ_REAL_ESTATE">"c1093"</definedName>
    <definedName name="IQ_REAL_ESTATE_ASSETS">"c1094"</definedName>
    <definedName name="IQ_REALIZED_GAINS_AVAIL_SALE_SEC_FFIEC">"c13022"</definedName>
    <definedName name="IQ_REALIZED_GAINS_HELD_MATURITY_SEC_FFIEC">"c13021"</definedName>
    <definedName name="IQ_REALIZED_GAINS_SEC_TOT_FFIEC">"c13517"</definedName>
    <definedName name="IQ_RECOVERIES_1_4_FAMILY_LOANS_FDIC">"c6707"</definedName>
    <definedName name="IQ_RECOVERIES_AUTO_LOANS_FDIC">"c6701"</definedName>
    <definedName name="IQ_RECOVERIES_AVG_LOANS_FFIEC">"c13476"</definedName>
    <definedName name="IQ_RECOVERIES_CL_LOANS_FDIC">"c6702"</definedName>
    <definedName name="IQ_RECOVERIES_CREDIT_CARDS_RECEIVABLES_FDIC">"c6704"</definedName>
    <definedName name="IQ_RECOVERIES_HOME_EQUITY_LINES_FDIC">"c6705"</definedName>
    <definedName name="IQ_RECOVERIES_OTHER_CONSUMER_LOANS_FDIC">"c6703"</definedName>
    <definedName name="IQ_RECOVERIES_OTHER_LOANS_FDIC">"c6706"</definedName>
    <definedName name="IQ_RECURRING_PROFIT_ACT_OR_EST">"c4507"</definedName>
    <definedName name="IQ_RECURRING_PROFIT_ACT_OR_EST_CIQ">"c5045"</definedName>
    <definedName name="IQ_RECURRING_PROFIT_EST">"c4499"</definedName>
    <definedName name="IQ_RECURRING_PROFIT_EST_CIQ">"c5037"</definedName>
    <definedName name="IQ_RECURRING_PROFIT_HIGH_EST">"c4501"</definedName>
    <definedName name="IQ_RECURRING_PROFIT_HIGH_EST_CIQ">"c5039"</definedName>
    <definedName name="IQ_RECURRING_PROFIT_LOW_EST">"c4502"</definedName>
    <definedName name="IQ_RECURRING_PROFIT_LOW_EST_CIQ">"c5040"</definedName>
    <definedName name="IQ_RECURRING_PROFIT_MEDIAN_EST">"c4503"</definedName>
    <definedName name="IQ_RECURRING_PROFIT_MEDIAN_EST_CIQ">"c5041"</definedName>
    <definedName name="IQ_RECURRING_PROFIT_NUM_EST">"c4504"</definedName>
    <definedName name="IQ_RECURRING_PROFIT_NUM_EST_CIQ">"c5042"</definedName>
    <definedName name="IQ_RECURRING_PROFIT_SHARE_ACT_OR_EST">"c4508"</definedName>
    <definedName name="IQ_RECURRING_PROFIT_SHARE_ACT_OR_EST_CIQ">"c5046"</definedName>
    <definedName name="IQ_RECURRING_PROFIT_SHARE_EST">"c4506"</definedName>
    <definedName name="IQ_RECURRING_PROFIT_SHARE_EST_CIQ">"c5044"</definedName>
    <definedName name="IQ_RECURRING_PROFIT_SHARE_HIGH_EST">"c4510"</definedName>
    <definedName name="IQ_RECURRING_PROFIT_SHARE_HIGH_EST_CIQ">"c5048"</definedName>
    <definedName name="IQ_RECURRING_PROFIT_SHARE_LOW_EST">"c4511"</definedName>
    <definedName name="IQ_RECURRING_PROFIT_SHARE_LOW_EST_CIQ">"c5049"</definedName>
    <definedName name="IQ_RECURRING_PROFIT_SHARE_MEDIAN_EST">"c4512"</definedName>
    <definedName name="IQ_RECURRING_PROFIT_SHARE_MEDIAN_EST_CIQ">"c5050"</definedName>
    <definedName name="IQ_RECURRING_PROFIT_SHARE_NUM_EST">"c4513"</definedName>
    <definedName name="IQ_RECURRING_PROFIT_SHARE_NUM_EST_CIQ">"c5051"</definedName>
    <definedName name="IQ_RECURRING_PROFIT_SHARE_STDDEV_EST">"c4514"</definedName>
    <definedName name="IQ_RECURRING_PROFIT_SHARE_STDDEV_EST_CIQ">"c5052"</definedName>
    <definedName name="IQ_RECURRING_PROFIT_STDDEV_EST">"c4516"</definedName>
    <definedName name="IQ_RECURRING_PROFIT_STDDEV_EST_CIQ">"c5054"</definedName>
    <definedName name="IQ_REDEEM_PREF_STOCK">"c1417"</definedName>
    <definedName name="IQ_REF_ENTITY">"c6033"</definedName>
    <definedName name="IQ_REF_ENTITY_CIQID">"c6024"</definedName>
    <definedName name="IQ_REF_ENTITY_TICKER">"c6023"</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INSURANCE_RECOVERABLE_ASSETS_LH_FFIEC">"c13104"</definedName>
    <definedName name="IQ_REINSURANCE_RECOVERABLE_ASSETS_PC_FFIEC">"c13098"</definedName>
    <definedName name="IQ_RELATED_PLANS_FDIC">"c6320"</definedName>
    <definedName name="IQ_RENT_OTHER_INC_FROM_OREO_FFIEC">"c13043"</definedName>
    <definedName name="IQ_RENT_PER_SQ_FT_AVG_CONSOL">"c8846"</definedName>
    <definedName name="IQ_RENT_PER_SQ_FT_AVG_MANAGED">"c8848"</definedName>
    <definedName name="IQ_RENT_PER_SQ_FT_AVG_OTHER">"c8849"</definedName>
    <definedName name="IQ_RENT_PER_SQ_FT_AVG_TOTAL">"c8850"</definedName>
    <definedName name="IQ_RENT_PER_SQ_FT_AVG_UNCONSOL">"c8847"</definedName>
    <definedName name="IQ_RENT_PER_SQ_METER_AVG_CONSOL">"c8851"</definedName>
    <definedName name="IQ_RENT_PER_SQ_METER_AVG_MANAGED">"c8853"</definedName>
    <definedName name="IQ_RENT_PER_SQ_METER_AVG_OTHER">"c8854"</definedName>
    <definedName name="IQ_RENT_PER_SQ_METER_AVG_TOTAL">"c8855"</definedName>
    <definedName name="IQ_RENT_PER_SQ_METER_AVG_UNCONSOL">"c8852"</definedName>
    <definedName name="IQ_RENT_SAFE_DEPOSIT_FFIEC">"c13044"</definedName>
    <definedName name="IQ_RENTAL_REV">"c1101"</definedName>
    <definedName name="IQ_REPRICEABLE_EARNING_ASSETS_INT_SENSITIVITY_FFIEC">"c13093"</definedName>
    <definedName name="IQ_REPRICEABLE_INT_DEPOSITS_INT_SENSITIVITY_FFIEC">"c13094"</definedName>
    <definedName name="IQ_REPURCHASED_REBOOKED_GNMA_DUE_30_89_FFIEC">"c13283"</definedName>
    <definedName name="IQ_REPURCHASED_REBOOKED_GNMA_DUE_90_FFIEC">"c13309"</definedName>
    <definedName name="IQ_REPURCHASED_REBOOKED_GNMA_NON_ACCRUAL_FFIEC">"c13334"</definedName>
    <definedName name="IQ_RES_CONST_REAL_APR_FC_UNUSED">"c8536"</definedName>
    <definedName name="IQ_RES_CONST_REAL_APR_FC_UNUSED_UNUSED_UNUSED">"c8536"</definedName>
    <definedName name="IQ_RES_CONST_REAL_APR_UNUSED">"c7656"</definedName>
    <definedName name="IQ_RES_CONST_REAL_APR_UNUSED_UNUSED_UNUSED">"c7656"</definedName>
    <definedName name="IQ_RES_CONST_REAL_FC_UNUSED">"c7876"</definedName>
    <definedName name="IQ_RES_CONST_REAL_FC_UNUSED_UNUSED_UNUSED">"c7876"</definedName>
    <definedName name="IQ_RES_CONST_REAL_POP_FC_UNUSED">"c8096"</definedName>
    <definedName name="IQ_RES_CONST_REAL_POP_FC_UNUSED_UNUSED_UNUSED">"c8096"</definedName>
    <definedName name="IQ_RES_CONST_REAL_POP_UNUSED">"c7216"</definedName>
    <definedName name="IQ_RES_CONST_REAL_POP_UNUSED_UNUSED_UNUSED">"c7216"</definedName>
    <definedName name="IQ_RES_CONST_REAL_SAAR_APR_FC_UNUSED">"c8537"</definedName>
    <definedName name="IQ_RES_CONST_REAL_SAAR_APR_FC_UNUSED_UNUSED_UNUSED">"c8537"</definedName>
    <definedName name="IQ_RES_CONST_REAL_SAAR_APR_UNUSED">"c7657"</definedName>
    <definedName name="IQ_RES_CONST_REAL_SAAR_APR_UNUSED_UNUSED_UNUSED">"c7657"</definedName>
    <definedName name="IQ_RES_CONST_REAL_SAAR_FC_UNUSED">"c7877"</definedName>
    <definedName name="IQ_RES_CONST_REAL_SAAR_FC_UNUSED_UNUSED_UNUSED">"c7877"</definedName>
    <definedName name="IQ_RES_CONST_REAL_SAAR_POP_FC_UNUSED">"c8097"</definedName>
    <definedName name="IQ_RES_CONST_REAL_SAAR_POP_FC_UNUSED_UNUSED_UNUSED">"c8097"</definedName>
    <definedName name="IQ_RES_CONST_REAL_SAAR_POP_UNUSED">"c7217"</definedName>
    <definedName name="IQ_RES_CONST_REAL_SAAR_POP_UNUSED_UNUSED_UNUSED">"c7217"</definedName>
    <definedName name="IQ_RES_CONST_REAL_SAAR_UNUSED">"c6997"</definedName>
    <definedName name="IQ_RES_CONST_REAL_SAAR_UNUSED_UNUSED_UNUSED">"c6997"</definedName>
    <definedName name="IQ_RES_CONST_REAL_SAAR_YOY_FC_UNUSED">"c8317"</definedName>
    <definedName name="IQ_RES_CONST_REAL_SAAR_YOY_FC_UNUSED_UNUSED_UNUSED">"c8317"</definedName>
    <definedName name="IQ_RES_CONST_REAL_SAAR_YOY_UNUSED">"c7437"</definedName>
    <definedName name="IQ_RES_CONST_REAL_SAAR_YOY_UNUSED_UNUSED_UNUSED">"c7437"</definedName>
    <definedName name="IQ_RES_CONST_REAL_UNUSED">"c6996"</definedName>
    <definedName name="IQ_RES_CONST_REAL_UNUSED_UNUSED_UNUSED">"c6996"</definedName>
    <definedName name="IQ_RES_CONST_REAL_YOY_FC_UNUSED">"c8316"</definedName>
    <definedName name="IQ_RES_CONST_REAL_YOY_FC_UNUSED_UNUSED_UNUSED">"c8316"</definedName>
    <definedName name="IQ_RES_CONST_REAL_YOY_UNUSED">"c7436"</definedName>
    <definedName name="IQ_RES_CONST_REAL_YOY_UNUSED_UNUSED_UNUSED">"c7436"</definedName>
    <definedName name="IQ_RES_CONST_SAAR_APR_FC_UNUSED">"c8540"</definedName>
    <definedName name="IQ_RES_CONST_SAAR_APR_FC_UNUSED_UNUSED_UNUSED">"c8540"</definedName>
    <definedName name="IQ_RES_CONST_SAAR_APR_UNUSED">"c7660"</definedName>
    <definedName name="IQ_RES_CONST_SAAR_APR_UNUSED_UNUSED_UNUSED">"c7660"</definedName>
    <definedName name="IQ_RES_CONST_SAAR_FC_UNUSED">"c7880"</definedName>
    <definedName name="IQ_RES_CONST_SAAR_FC_UNUSED_UNUSED_UNUSED">"c7880"</definedName>
    <definedName name="IQ_RES_CONST_SAAR_POP_FC_UNUSED">"c8100"</definedName>
    <definedName name="IQ_RES_CONST_SAAR_POP_FC_UNUSED_UNUSED_UNUSED">"c8100"</definedName>
    <definedName name="IQ_RES_CONST_SAAR_POP_UNUSED">"c7220"</definedName>
    <definedName name="IQ_RES_CONST_SAAR_POP_UNUSED_UNUSED_UNUSED">"c7220"</definedName>
    <definedName name="IQ_RES_CONST_SAAR_UNUSED">"c7000"</definedName>
    <definedName name="IQ_RES_CONST_SAAR_UNUSED_UNUSED_UNUSED">"c7000"</definedName>
    <definedName name="IQ_RES_CONST_SAAR_YOY_FC_UNUSED">"c8320"</definedName>
    <definedName name="IQ_RES_CONST_SAAR_YOY_FC_UNUSED_UNUSED_UNUSED">"c8320"</definedName>
    <definedName name="IQ_RES_CONST_SAAR_YOY_UNUSED">"c7440"</definedName>
    <definedName name="IQ_RES_CONST_SAAR_YOY_UNUSED_UNUSED_UNUSED">"c7440"</definedName>
    <definedName name="IQ_RES_FIXED_INVEST">"c7001"</definedName>
    <definedName name="IQ_RES_FIXED_INVEST_APR">"c7661"</definedName>
    <definedName name="IQ_RES_FIXED_INVEST_APR_FC">"c8541"</definedName>
    <definedName name="IQ_RES_FIXED_INVEST_FC">"c7881"</definedName>
    <definedName name="IQ_RES_FIXED_INVEST_POP">"c7221"</definedName>
    <definedName name="IQ_RES_FIXED_INVEST_POP_FC">"c8101"</definedName>
    <definedName name="IQ_RES_FIXED_INVEST_REAL">"c6998"</definedName>
    <definedName name="IQ_RES_FIXED_INVEST_REAL_APR">"c7658"</definedName>
    <definedName name="IQ_RES_FIXED_INVEST_REAL_APR_FC">"c8538"</definedName>
    <definedName name="IQ_RES_FIXED_INVEST_REAL_FC">"c7878"</definedName>
    <definedName name="IQ_RES_FIXED_INVEST_REAL_POP">"c7218"</definedName>
    <definedName name="IQ_RES_FIXED_INVEST_REAL_POP_FC">"c8098"</definedName>
    <definedName name="IQ_RES_FIXED_INVEST_REAL_YOY">"c7438"</definedName>
    <definedName name="IQ_RES_FIXED_INVEST_REAL_YOY_FC">"c8318"</definedName>
    <definedName name="IQ_RES_FIXED_INVEST_SAAR">"c11994"</definedName>
    <definedName name="IQ_RES_FIXED_INVEST_SAAR_APR">"c11997"</definedName>
    <definedName name="IQ_RES_FIXED_INVEST_SAAR_POP">"c11995"</definedName>
    <definedName name="IQ_RES_FIXED_INVEST_SAAR_REAL">"c11990"</definedName>
    <definedName name="IQ_RES_FIXED_INVEST_SAAR_REAL_APR">"c11993"</definedName>
    <definedName name="IQ_RES_FIXED_INVEST_SAAR_REAL_POP">"c11991"</definedName>
    <definedName name="IQ_RES_FIXED_INVEST_SAAR_REAL_YOY">"c11992"</definedName>
    <definedName name="IQ_RES_FIXED_INVEST_SAAR_YOY">"c11996"</definedName>
    <definedName name="IQ_RES_FIXED_INVEST_YOY">"c7441"</definedName>
    <definedName name="IQ_RES_FIXED_INVEST_YOY_FC">"c8321"</definedName>
    <definedName name="IQ_RESEARCH_DEV">"c1419"</definedName>
    <definedName name="IQ_RESIDENTIAL_LOANS">"c1102"</definedName>
    <definedName name="IQ_REST_ACQUIRED_AFFILIATED_OTHER_RESTAURANTS">"c9873"</definedName>
    <definedName name="IQ_REST_ACQUIRED_FRANCHISE_RESTAURANTS">"c9867"</definedName>
    <definedName name="IQ_REST_ACQUIRED_OWNED_RESTAURANTS">"c9861"</definedName>
    <definedName name="IQ_REST_ACQUIRED_RESTAURANTS">"c9855"</definedName>
    <definedName name="IQ_REST_AFFILIATED_OTHER_RESTAURANTS_BEG">"c9871"</definedName>
    <definedName name="IQ_REST_AVG_VALUE_TRANSACTION">"c9887"</definedName>
    <definedName name="IQ_REST_AVG_VALUE_TRANSACTION_GROWTH">"c9888"</definedName>
    <definedName name="IQ_REST_AVG_WEEKLY_SALES">"c9879"</definedName>
    <definedName name="IQ_REST_AVG_WEEKLY_SALES_FRANCHISE">"c9877"</definedName>
    <definedName name="IQ_REST_AVG_WEEKLY_SALES_OWNED">"c9878"</definedName>
    <definedName name="IQ_REST_CLOSED_AFFILIATED_OTHER_RESTAURANTS">"c9874"</definedName>
    <definedName name="IQ_REST_CLOSED_FRANCHISE_RESTAURANTS">"c9868"</definedName>
    <definedName name="IQ_REST_CLOSED_OWNED_RESTAURANTS">"c9862"</definedName>
    <definedName name="IQ_REST_CLOSED_RESTAURANTS">"c9856"</definedName>
    <definedName name="IQ_REST_FRANCHISE_RESTAURANTS_BEG">"c9865"</definedName>
    <definedName name="IQ_REST_GUEST_COUNT_GROWTH">"c9889"</definedName>
    <definedName name="IQ_REST_OPENED_AFFILIATED_OTHER_RESTAURANTS">"c9872"</definedName>
    <definedName name="IQ_REST_OPENED_FRANCHISE_RESTAURANTS">"c9866"</definedName>
    <definedName name="IQ_REST_OPENED_OWNED_RESTAURANTS">"c9860"</definedName>
    <definedName name="IQ_REST_OPENED_RESTAURANTS">"c9854"</definedName>
    <definedName name="IQ_REST_OPERATING_MARGIN">"c9886"</definedName>
    <definedName name="IQ_REST_OWNED_RESTAURANTS_BEG">"c9859"</definedName>
    <definedName name="IQ_REST_RESTAURANTS_BEG">"c9853"</definedName>
    <definedName name="IQ_REST_SAME_RESTAURANT_SALES">"c9885"</definedName>
    <definedName name="IQ_REST_SAME_RESTAURANT_SALES_FRANCHISE">"c9883"</definedName>
    <definedName name="IQ_REST_SAME_RESTAURANT_SALES_GROWTH">"c9882"</definedName>
    <definedName name="IQ_REST_SAME_RESTAURANT_SALES_GROWTH_FRANCHISE">"c9880"</definedName>
    <definedName name="IQ_REST_SAME_RESTAURANT_SALES_GROWTH_OWNED">"c9881"</definedName>
    <definedName name="IQ_REST_SAME_RESTAURANT_SALES_OWNED">"c9884"</definedName>
    <definedName name="IQ_REST_SOLD_AFFILIATED_OTHER_RESTAURANTS">"c9875"</definedName>
    <definedName name="IQ_REST_SOLD_FRANCHISE_RESTAURANTS">"c9869"</definedName>
    <definedName name="IQ_REST_SOLD_OWNED_RESTAURANTS">"c9863"</definedName>
    <definedName name="IQ_REST_SOLD_RESTAURANTS">"c9857"</definedName>
    <definedName name="IQ_REST_TOTAL_AFFILIATED_OTHER_RESTAURANTS">"c9876"</definedName>
    <definedName name="IQ_REST_TOTAL_FRANCHISE_RESTAURANTS">"c9870"</definedName>
    <definedName name="IQ_REST_TOTAL_OWNED_RESTAURANTS">"c9864"</definedName>
    <definedName name="IQ_REST_TOTAL_RESTAURANTS">"c9858"</definedName>
    <definedName name="IQ_RESTATEMENT_BS">"c1643"</definedName>
    <definedName name="IQ_RESTATEMENT_CF">"c1644"</definedName>
    <definedName name="IQ_RESTATEMENT_IS">"c1642"</definedName>
    <definedName name="IQ_RESTATEMENTS_FFIEC">"c12958"</definedName>
    <definedName name="IQ_RESTATEMENTS_NET_FDIC">"c6500"</definedName>
    <definedName name="IQ_RESTR_STOCK_COMP">"c3506"</definedName>
    <definedName name="IQ_RESTR_STOCK_COMP_PRETAX">"c3504"</definedName>
    <definedName name="IQ_RESTR_STOCK_COMP_TAX">"c3505"</definedName>
    <definedName name="IQ_RESTRICTED_CASH">"c1103"</definedName>
    <definedName name="IQ_RESTRICTED_CASH_NON_CURRENT">"c6192"</definedName>
    <definedName name="IQ_RESTRICTED_CASH_TOTAL">"c6193"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"c6264"</definedName>
    <definedName name="IQ_RESTRUCTURE_REIT">"c1110"</definedName>
    <definedName name="IQ_RESTRUCTURE_SUPPLE">"c13809"</definedName>
    <definedName name="IQ_RESTRUCTURE_UTI">"c1111"</definedName>
    <definedName name="IQ_RESTRUCTURED_LOANS">"c1112"</definedName>
    <definedName name="IQ_RESTRUCTURED_LOANS_1_4_RESIDENTIAL_FDIC">"c6378"</definedName>
    <definedName name="IQ_RESTRUCTURED_LOANS_LEASES_FDIC">"c6377"</definedName>
    <definedName name="IQ_RESTRUCTURED_LOANS_NON_1_4_FDIC">"c6379"</definedName>
    <definedName name="IQ_RETAIL_ACQUIRED_AFFILIATED_OTHER_STORES">"c9892"</definedName>
    <definedName name="IQ_RETAIL_ACQUIRED_FRANCHISE_STORES">"c2903"</definedName>
    <definedName name="IQ_RETAIL_ACQUIRED_OWNED_STORES">"c2895"</definedName>
    <definedName name="IQ_RETAIL_ACQUIRED_STORES">"c2887"</definedName>
    <definedName name="IQ_RETAIL_AFFILIATED_OTHER_STORES_BEG">"c9890"</definedName>
    <definedName name="IQ_RETAIL_AVG_SQ_METERS_GROSS">"c9908"</definedName>
    <definedName name="IQ_RETAIL_AVG_SQ_METERS_NET">"c9907"</definedName>
    <definedName name="IQ_RETAIL_AVG_STORE_SIZE_GROSS">"c2066"</definedName>
    <definedName name="IQ_RETAIL_AVG_STORE_SIZE_NET">"c2067"</definedName>
    <definedName name="IQ_RETAIL_AVG_VALUE_TRANSACTION">"c9915"</definedName>
    <definedName name="IQ_RETAIL_AVG_VALUE_TRANSACTION_GROWTH">"c9916"</definedName>
    <definedName name="IQ_RETAIL_AVG_WK_SALES">"c2891"</definedName>
    <definedName name="IQ_RETAIL_AVG_WK_SALES_FRANCHISE">"c2899"</definedName>
    <definedName name="IQ_RETAIL_AVG_WK_SALES_OWNED">"c2907"</definedName>
    <definedName name="IQ_RETAIL_CLOSED_AFFILIATED_OTHER_STORES">"c9893"</definedName>
    <definedName name="IQ_RETAIL_CLOSED_FRANCHISE_STORES">"c2896"</definedName>
    <definedName name="IQ_RETAIL_CLOSED_OWNED_STORES">"c2904"</definedName>
    <definedName name="IQ_RETAIL_CLOSED_STORES">"c2063"</definedName>
    <definedName name="IQ_RETAIL_DEPOSITS_FDIC">"c6488"</definedName>
    <definedName name="IQ_RETAIL_FRANCHISE_STORES_BEG">"c2893"</definedName>
    <definedName name="IQ_RETAIL_GROSS_MARGIN">"c9899"</definedName>
    <definedName name="IQ_RETAIL_IS_RATIO">"c7002"</definedName>
    <definedName name="IQ_RETAIL_IS_RATIO_FC">"c7882"</definedName>
    <definedName name="IQ_RETAIL_IS_RATIO_POP">"c7222"</definedName>
    <definedName name="IQ_RETAIL_IS_RATIO_POP_FC">"c8102"</definedName>
    <definedName name="IQ_RETAIL_IS_RATIO_YOY">"c7442"</definedName>
    <definedName name="IQ_RETAIL_IS_RATIO_YOY_FC">"c8322"</definedName>
    <definedName name="IQ_RETAIL_MERCHANDISE_MARGIN">"c9901"</definedName>
    <definedName name="IQ_RETAIL_OPENED_AFFILIATED_OTHER_STORES">"c9891"</definedName>
    <definedName name="IQ_RETAIL_OPENED_FRANCHISE_STORES">"c2894"</definedName>
    <definedName name="IQ_RETAIL_OPENED_OWNED_STORES">"c2902"</definedName>
    <definedName name="IQ_RETAIL_OPENED_STORES">"c2062"</definedName>
    <definedName name="IQ_RETAIL_OPERATING_MARGIN">"c9900"</definedName>
    <definedName name="IQ_RETAIL_OWNED_STORES_BEG">"c2901"</definedName>
    <definedName name="IQ_RETAIL_SALES">"c7003"</definedName>
    <definedName name="IQ_RETAIL_SALES_APR">"c7663"</definedName>
    <definedName name="IQ_RETAIL_SALES_APR_FC">"c8543"</definedName>
    <definedName name="IQ_RETAIL_SALES_CATALOG">"c9903"</definedName>
    <definedName name="IQ_RETAIL_SALES_FC">"c7883"</definedName>
    <definedName name="IQ_RETAIL_SALES_FOOD">"c7004"</definedName>
    <definedName name="IQ_RETAIL_SALES_FOOD_APR">"c7664"</definedName>
    <definedName name="IQ_RETAIL_SALES_FOOD_APR_FC">"c8544"</definedName>
    <definedName name="IQ_RETAIL_SALES_FOOD_EXCL_VEHICLE">"c7005"</definedName>
    <definedName name="IQ_RETAIL_SALES_FOOD_EXCL_VEHICLE_APR">"c7665"</definedName>
    <definedName name="IQ_RETAIL_SALES_FOOD_EXCL_VEHICLE_APR_FC">"c8545"</definedName>
    <definedName name="IQ_RETAIL_SALES_FOOD_EXCL_VEHICLE_FC">"c7885"</definedName>
    <definedName name="IQ_RETAIL_SALES_FOOD_EXCL_VEHICLE_POP">"c7225"</definedName>
    <definedName name="IQ_RETAIL_SALES_FOOD_EXCL_VEHICLE_POP_FC">"c8105"</definedName>
    <definedName name="IQ_RETAIL_SALES_FOOD_EXCL_VEHICLE_YOY">"c7445"</definedName>
    <definedName name="IQ_RETAIL_SALES_FOOD_EXCL_VEHICLE_YOY_FC">"c8325"</definedName>
    <definedName name="IQ_RETAIL_SALES_FOOD_FC">"c7884"</definedName>
    <definedName name="IQ_RETAIL_SALES_FOOD_POP">"c7224"</definedName>
    <definedName name="IQ_RETAIL_SALES_FOOD_POP_FC">"c8104"</definedName>
    <definedName name="IQ_RETAIL_SALES_FOOD_YOY">"c7444"</definedName>
    <definedName name="IQ_RETAIL_SALES_FOOD_YOY_FC">"c8324"</definedName>
    <definedName name="IQ_RETAIL_SALES_ONLINE">"c9904"</definedName>
    <definedName name="IQ_RETAIL_SALES_POP">"c7223"</definedName>
    <definedName name="IQ_RETAIL_SALES_POP_FC">"c8103"</definedName>
    <definedName name="IQ_RETAIL_SALES_RETAIL">"c9902"</definedName>
    <definedName name="IQ_RETAIL_SALES_SAAR">"c7009"</definedName>
    <definedName name="IQ_RETAIL_SALES_SAAR_APR">"c7669"</definedName>
    <definedName name="IQ_RETAIL_SALES_SAAR_APR_FC">"c8549"</definedName>
    <definedName name="IQ_RETAIL_SALES_SAAR_FC">"c7889"</definedName>
    <definedName name="IQ_RETAIL_SALES_SAAR_POP">"c7229"</definedName>
    <definedName name="IQ_RETAIL_SALES_SAAR_POP_FC">"c8109"</definedName>
    <definedName name="IQ_RETAIL_SALES_SAAR_YOY">"c7449"</definedName>
    <definedName name="IQ_RETAIL_SALES_SAAR_YOY_FC">"c8329"</definedName>
    <definedName name="IQ_RETAIL_SALES_SQ_METER_COMPARABLE_GROSS">"c9914"</definedName>
    <definedName name="IQ_RETAIL_SALES_SQ_METER_COMPARABLE_NET">"c9913"</definedName>
    <definedName name="IQ_RETAIL_SALES_SQ_METER_GROSS">"c9910"</definedName>
    <definedName name="IQ_RETAIL_SALES_SQ_METER_NET">"c9909"</definedName>
    <definedName name="IQ_RETAIL_SALES_SQ_METER_OWNED_GROSS">"c9912"</definedName>
    <definedName name="IQ_RETAIL_SALES_SQ_METER_OWNED_NET">"c9911"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ALES_VALUE_INDEX">"c7006"</definedName>
    <definedName name="IQ_RETAIL_SALES_VALUE_INDEX_APR">"c7666"</definedName>
    <definedName name="IQ_RETAIL_SALES_VALUE_INDEX_APR_FC">"c8546"</definedName>
    <definedName name="IQ_RETAIL_SALES_VALUE_INDEX_FC">"c7886"</definedName>
    <definedName name="IQ_RETAIL_SALES_VALUE_INDEX_POP">"c7226"</definedName>
    <definedName name="IQ_RETAIL_SALES_VALUE_INDEX_POP_FC">"c8106"</definedName>
    <definedName name="IQ_RETAIL_SALES_VALUE_INDEX_YOY">"c7446"</definedName>
    <definedName name="IQ_RETAIL_SALES_VALUE_INDEX_YOY_FC">"c8326"</definedName>
    <definedName name="IQ_RETAIL_SALES_VOL_INDEX">"c7007"</definedName>
    <definedName name="IQ_RETAIL_SALES_VOL_INDEX_APR">"c7667"</definedName>
    <definedName name="IQ_RETAIL_SALES_VOL_INDEX_APR_FC">"c8547"</definedName>
    <definedName name="IQ_RETAIL_SALES_VOL_INDEX_EXCL_MOTOR">"c7008"</definedName>
    <definedName name="IQ_RETAIL_SALES_VOL_INDEX_EXCL_MOTOR_APR">"c7668"</definedName>
    <definedName name="IQ_RETAIL_SALES_VOL_INDEX_EXCL_MOTOR_APR_FC">"c8548"</definedName>
    <definedName name="IQ_RETAIL_SALES_VOL_INDEX_EXCL_MOTOR_FC">"c7888"</definedName>
    <definedName name="IQ_RETAIL_SALES_VOL_INDEX_EXCL_MOTOR_POP">"c7228"</definedName>
    <definedName name="IQ_RETAIL_SALES_VOL_INDEX_EXCL_MOTOR_POP_FC">"c8108"</definedName>
    <definedName name="IQ_RETAIL_SALES_VOL_INDEX_EXCL_MOTOR_YOY">"c7448"</definedName>
    <definedName name="IQ_RETAIL_SALES_VOL_INDEX_EXCL_MOTOR_YOY_FC">"c8328"</definedName>
    <definedName name="IQ_RETAIL_SALES_VOL_INDEX_FC">"c7887"</definedName>
    <definedName name="IQ_RETAIL_SALES_VOL_INDEX_POP">"c7227"</definedName>
    <definedName name="IQ_RETAIL_SALES_VOL_INDEX_POP_FC">"c8107"</definedName>
    <definedName name="IQ_RETAIL_SALES_VOL_INDEX_YOY">"c7447"</definedName>
    <definedName name="IQ_RETAIL_SALES_VOL_INDEX_YOY_FC">"c8327"</definedName>
    <definedName name="IQ_RETAIL_SALES_YOY">"c7443"</definedName>
    <definedName name="IQ_RETAIL_SALES_YOY_FC">"c8323"</definedName>
    <definedName name="IQ_RETAIL_SAME_STORE_SALES">"c9898"</definedName>
    <definedName name="IQ_RETAIL_SAME_STORE_SALES_FRANCHISE">"c9896"</definedName>
    <definedName name="IQ_RETAIL_SAME_STORE_SALES_OWNED">"c9897"</definedName>
    <definedName name="IQ_RETAIL_SOLD_AFFILIATED_OTHER_STORES">"c9894"</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AFFILIATED_OTHER_STORES">"c9895"</definedName>
    <definedName name="IQ_RETAIL_TOTAL_FRANCHISE_STORES">"c2898"</definedName>
    <definedName name="IQ_RETAIL_TOTAL_OWNED_STORES">"c2906"</definedName>
    <definedName name="IQ_RETAIL_TOTAL_SQ_METERS_GROSS">"c9906"</definedName>
    <definedName name="IQ_RETAIL_TOTAL_SQ_METERS_NET">"c9905"</definedName>
    <definedName name="IQ_RETAIL_TOTAL_STORES">"c2061"</definedName>
    <definedName name="IQ_RETAINED_EARN">"c1420"</definedName>
    <definedName name="IQ_RETAINED_EARNINGS_AVERAGE_EQUITY_FDIC">"c6733"</definedName>
    <definedName name="IQ_RETAINED_EARNINGS_EQUITY_FFIEC">"c13348"</definedName>
    <definedName name="IQ_RETAINED_EARNINGS_FFIEC">"c12878"</definedName>
    <definedName name="IQ_RETURN_ASSETS">"c1113"</definedName>
    <definedName name="IQ_RETURN_ASSETS_ACT_OR_EST">"c3585"</definedName>
    <definedName name="IQ_RETURN_ASSETS_ACT_OR_EST_CIQ">"c12020"</definedName>
    <definedName name="IQ_RETURN_ASSETS_BANK">"c1114"</definedName>
    <definedName name="IQ_RETURN_ASSETS_BROK">"c1115"</definedName>
    <definedName name="IQ_RETURN_ASSETS_DET_EST">"c12066"</definedName>
    <definedName name="IQ_RETURN_ASSETS_DET_EST_CIQ">"c12130"</definedName>
    <definedName name="IQ_RETURN_ASSETS_DET_EST_DATE">"c12219"</definedName>
    <definedName name="IQ_RETURN_ASSETS_DET_EST_DATE_CIQ">"c12276"</definedName>
    <definedName name="IQ_RETURN_ASSETS_DET_EST_INCL">"c12356"</definedName>
    <definedName name="IQ_RETURN_ASSETS_DET_EST_INCL_CIQ">"c12404"</definedName>
    <definedName name="IQ_RETURN_ASSETS_DET_EST_ORIGIN">"c12591"</definedName>
    <definedName name="IQ_RETURN_ASSETS_DET_EST_ORIGIN_CIQ">"c12645"</definedName>
    <definedName name="IQ_RETURN_ASSETS_EST">"c3529"</definedName>
    <definedName name="IQ_RETURN_ASSETS_EST_CIQ">"c3828"</definedName>
    <definedName name="IQ_RETURN_ASSETS_FDIC">"c6730"</definedName>
    <definedName name="IQ_RETURN_ASSETS_FS">"c1116"</definedName>
    <definedName name="IQ_RETURN_ASSETS_GUIDANCE">"c4517"</definedName>
    <definedName name="IQ_RETURN_ASSETS_HIGH_EST">"c3530"</definedName>
    <definedName name="IQ_RETURN_ASSETS_HIGH_EST_CIQ">"c3830"</definedName>
    <definedName name="IQ_RETURN_ASSETS_HIGH_GUIDANCE">"c4183"</definedName>
    <definedName name="IQ_RETURN_ASSETS_LOW_EST">"c3531"</definedName>
    <definedName name="IQ_RETURN_ASSETS_LOW_EST_CIQ">"c3831"</definedName>
    <definedName name="IQ_RETURN_ASSETS_LOW_GUIDANCE">"c4223"</definedName>
    <definedName name="IQ_RETURN_ASSETS_MEDIAN_EST">"c3532"</definedName>
    <definedName name="IQ_RETURN_ASSETS_MEDIAN_EST_CIQ">"c3829"</definedName>
    <definedName name="IQ_RETURN_ASSETS_NUM_EST">"c3527"</definedName>
    <definedName name="IQ_RETURN_ASSETS_NUM_EST_CIQ">"c3832"</definedName>
    <definedName name="IQ_RETURN_ASSETS_STDDEV_EST">"c3528"</definedName>
    <definedName name="IQ_RETURN_ASSETS_STDDEV_EST_CIQ">"c3833"</definedName>
    <definedName name="IQ_RETURN_CAPITAL">"c1117"</definedName>
    <definedName name="IQ_RETURN_COMMON_EQUITY">"c13838"</definedName>
    <definedName name="IQ_RETURN_EMBEDDED_VALUE">"c9974"</definedName>
    <definedName name="IQ_RETURN_EQUITY">"c1118"</definedName>
    <definedName name="IQ_RETURN_EQUITY_ACT_OR_EST">"c3586"</definedName>
    <definedName name="IQ_RETURN_EQUITY_ACT_OR_EST_CIQ">"c12021"</definedName>
    <definedName name="IQ_RETURN_EQUITY_BANK">"c1119"</definedName>
    <definedName name="IQ_RETURN_EQUITY_BROK">"c1120"</definedName>
    <definedName name="IQ_RETURN_EQUITY_DET_EST">"c12067"</definedName>
    <definedName name="IQ_RETURN_EQUITY_DET_EST_CIQ">"c12131"</definedName>
    <definedName name="IQ_RETURN_EQUITY_DET_EST_DATE">"c12220"</definedName>
    <definedName name="IQ_RETURN_EQUITY_DET_EST_DATE_CIQ">"c12277"</definedName>
    <definedName name="IQ_RETURN_EQUITY_DET_EST_INCL">"c12357"</definedName>
    <definedName name="IQ_RETURN_EQUITY_DET_EST_INCL_CIQ">"c12405"</definedName>
    <definedName name="IQ_RETURN_EQUITY_DET_EST_ORIGIN">"c12592"</definedName>
    <definedName name="IQ_RETURN_EQUITY_DET_EST_ORIGIN_CIQ">"c12646"</definedName>
    <definedName name="IQ_RETURN_EQUITY_EST">"c3535"</definedName>
    <definedName name="IQ_RETURN_EQUITY_EST_CIQ">"c3821"</definedName>
    <definedName name="IQ_RETURN_EQUITY_FDIC">"c6732"</definedName>
    <definedName name="IQ_RETURN_EQUITY_FS">"c1121"</definedName>
    <definedName name="IQ_RETURN_EQUITY_GUIDANCE">"c4518"</definedName>
    <definedName name="IQ_RETURN_EQUITY_HIGH_EST">"c3536"</definedName>
    <definedName name="IQ_RETURN_EQUITY_HIGH_EST_CIQ">"c3823"</definedName>
    <definedName name="IQ_RETURN_EQUITY_HIGH_GUIDANCE">"c4182"</definedName>
    <definedName name="IQ_RETURN_EQUITY_LOW_EST">"c3537"</definedName>
    <definedName name="IQ_RETURN_EQUITY_LOW_EST_CIQ">"c3824"</definedName>
    <definedName name="IQ_RETURN_EQUITY_LOW_GUIDANCE">"c4222"</definedName>
    <definedName name="IQ_RETURN_EQUITY_MEDIAN_EST">"c3538"</definedName>
    <definedName name="IQ_RETURN_EQUITY_MEDIAN_EST_CIQ">"c3822"</definedName>
    <definedName name="IQ_RETURN_EQUITY_NUM_EST">"c3533"</definedName>
    <definedName name="IQ_RETURN_EQUITY_NUM_EST_CIQ">"c3825"</definedName>
    <definedName name="IQ_RETURN_EQUITY_STDDEV_EST">"c3534"</definedName>
    <definedName name="IQ_RETURN_EQUITY_STDDEV_EST_CIQ">"c3826"</definedName>
    <definedName name="IQ_RETURN_INVESTMENT">"c1421"</definedName>
    <definedName name="IQ_REV">"c1122"</definedName>
    <definedName name="IQ_REV_AP">"c8873"</definedName>
    <definedName name="IQ_REV_AP_ABS">"c8892"</definedName>
    <definedName name="IQ_REV_BEFORE_LL">"c1123"</definedName>
    <definedName name="IQ_REV_BEFORE_LOAN_LOSS_FOREIGN_FFIEC">"c15381"</definedName>
    <definedName name="IQ_REV_DET_EST">"c12065"</definedName>
    <definedName name="IQ_REV_DET_EST_CIQ">"c12129"</definedName>
    <definedName name="IQ_REV_DET_EST_CURRENCY">"c12472"</definedName>
    <definedName name="IQ_REV_DET_EST_CURRENCY_CIQ">"c12520"</definedName>
    <definedName name="IQ_REV_DET_EST_DATE">"c12218"</definedName>
    <definedName name="IQ_REV_DET_EST_DATE_CIQ">"c12275"</definedName>
    <definedName name="IQ_REV_DET_EST_INCL">"c12355"</definedName>
    <definedName name="IQ_REV_DET_EST_INCL_CIQ">"c12403"</definedName>
    <definedName name="IQ_REV_DET_EST_ORIGIN">"c12590"</definedName>
    <definedName name="IQ_REV_DET_EST_ORIGIN_CIQ">"c12644"</definedName>
    <definedName name="IQ_REV_NAME_AP">"c8911"</definedName>
    <definedName name="IQ_REV_NAME_AP_ABS">"c8930"</definedName>
    <definedName name="IQ_REV_STDDEV_EST">"c1124"</definedName>
    <definedName name="IQ_REV_STDDEV_EST_CIQ">"c3621"</definedName>
    <definedName name="IQ_REV_UTI">"c1125"</definedName>
    <definedName name="IQ_REVALUATION_GAINS_DERIVATIVE_DOM_FFIEC">"c12828"</definedName>
    <definedName name="IQ_REVALUATION_GAINS_DERIVATIVE_FOREIGN_FFIEC">"c12829"</definedName>
    <definedName name="IQ_REVALUATION_GAINS_FDIC">"c6428"</definedName>
    <definedName name="IQ_REVALUATION_LOSSES_FDIC">"c6429"</definedName>
    <definedName name="IQ_REVENUE">"c1422"</definedName>
    <definedName name="IQ_REVENUE_ACT_OR_EST">"c2214"</definedName>
    <definedName name="IQ_REVENUE_ACT_OR_EST_CIQ">"c5059"</definedName>
    <definedName name="IQ_REVENUE_BEFORE_LL_FFIEC">"c13018"</definedName>
    <definedName name="IQ_REVENUE_EST">"c1126"</definedName>
    <definedName name="IQ_REVENUE_EST_BOTTOM_UP">"c5488"</definedName>
    <definedName name="IQ_REVENUE_EST_BOTTOM_UP_CIQ">"c12025"</definedName>
    <definedName name="IQ_REVENUE_EST_CIQ">"c3616"</definedName>
    <definedName name="IQ_REVENUE_GUIDANCE">"c4519"</definedName>
    <definedName name="IQ_REVENUE_HIGH_EST">"c1127"</definedName>
    <definedName name="IQ_REVENUE_HIGH_EST_CIQ">"c3618"</definedName>
    <definedName name="IQ_REVENUE_HIGH_GUIDANCE">"c4169"</definedName>
    <definedName name="IQ_REVENUE_LOW_EST">"c1128"</definedName>
    <definedName name="IQ_REVENUE_LOW_EST_CIQ">"c3619"</definedName>
    <definedName name="IQ_REVENUE_LOW_GUIDANCE">"c4209"</definedName>
    <definedName name="IQ_REVENUE_MEDIAN_EST">"c1662"</definedName>
    <definedName name="IQ_REVENUE_MEDIAN_EST_CIQ">"c3617"</definedName>
    <definedName name="IQ_REVENUE_NUM_EST">"c1129"</definedName>
    <definedName name="IQ_REVENUE_NUM_EST_CIQ">"c3620"</definedName>
    <definedName name="IQ_REVISION_DATE_">39231.9340277778</definedName>
    <definedName name="IQ_REVOLV_OPEN_SECURED_1_4_LL_REC_DOM_FFIEC">"c12902"</definedName>
    <definedName name="IQ_REVOLVING_HOME_EQUITY_LINES_UNUSED_FFIEC">"c13241"</definedName>
    <definedName name="IQ_REVOLVING_LOANS_GROSS_LOANS_FFIEC">"c13398"</definedName>
    <definedName name="IQ_REVOLVING_LOANS_RISK_BASED_FFIEC">"c13419"</definedName>
    <definedName name="IQ_REVOLVING_LOANS_SEC_1_4_DOM_CHARGE_OFFS_FFIEC">"c13168"</definedName>
    <definedName name="IQ_REVOLVING_LOANS_SEC_1_4_DOM_RECOV_FFIEC">"c13190"</definedName>
    <definedName name="IQ_REVOLVING_OPEN_END_1_4_TRADING_DOM_FFIEC">"c12927"</definedName>
    <definedName name="IQ_REVOLVING_SECURED_1_4_DUE_30_89_FFIEC">"c13260"</definedName>
    <definedName name="IQ_REVOLVING_SECURED_1_4_DUE_90_FFIEC">"c13288"</definedName>
    <definedName name="IQ_REVOLVING_SECURED_1_4_NON_ACCRUAL_FFIEC">"c13314"</definedName>
    <definedName name="IQ_REVOLVING_SECURED_1_–4_NON_ACCRUAL_FFIEC">"c15565"</definedName>
    <definedName name="IQ_RISK_ADJ_BANK_ASSETS">"c2670"</definedName>
    <definedName name="IQ_RISK_WEIGHTED_ASSETS_FDIC">"c6370"</definedName>
    <definedName name="IQ_RSI">"c12704"</definedName>
    <definedName name="IQ_RSI_ADJ">"c12705"</definedName>
    <definedName name="IQ_SALARIED_WORKFORCE">"c7010"</definedName>
    <definedName name="IQ_SALARIED_WORKFORCE_APR">"c7670"</definedName>
    <definedName name="IQ_SALARIED_WORKFORCE_APR_FC">"c8550"</definedName>
    <definedName name="IQ_SALARIED_WORKFORCE_FC">"c7890"</definedName>
    <definedName name="IQ_SALARIED_WORKFORCE_POP">"c7230"</definedName>
    <definedName name="IQ_SALARIED_WORKFORCE_POP_FC">"c8110"</definedName>
    <definedName name="IQ_SALARIED_WORKFORCE_YOY">"c7450"</definedName>
    <definedName name="IQ_SALARIED_WORKFORCE_YOY_FC">"c8330"</definedName>
    <definedName name="IQ_SALARIES_EMPLOYEE_BENEFITS_FFIEC">"c13023"</definedName>
    <definedName name="IQ_SALARY">"c1130"</definedName>
    <definedName name="IQ_SALARY_FDIC">"c6576"</definedName>
    <definedName name="IQ_SALE_COMMON_GROSS_FFIEC">"c12963"</definedName>
    <definedName name="IQ_SALE_CONVERSION_ACQUISITION_NET_COMMON_FFIEC">"c15351"</definedName>
    <definedName name="IQ_SALE_CONVERSION_RETIREMENT_STOCK_FDIC">"c6661"</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"c6284"</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PREF_FFIEC">"c12961"</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_TREASURY_FFIEC">"c12965"</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AVINGS_DEPOSITS_NON_TRANS_ACCTS_FFIEC">"c15329"</definedName>
    <definedName name="IQ_SAVINGS_DEPOSITS_QUARTERLY_AVG_FFIEC">"c15485"</definedName>
    <definedName name="IQ_SAVINGS_RATE_DISP_INC_PCT">"c7011"</definedName>
    <definedName name="IQ_SAVINGS_RATE_DISP_INC_PCT_FC">"c7891"</definedName>
    <definedName name="IQ_SAVINGS_RATE_DISP_INC_PCT_POP">"c7231"</definedName>
    <definedName name="IQ_SAVINGS_RATE_DISP_INC_PCT_POP_FC">"c8111"</definedName>
    <definedName name="IQ_SAVINGS_RATE_DISP_INC_PCT_YOY">"c7451"</definedName>
    <definedName name="IQ_SAVINGS_RATE_DISP_INC_PCT_YOY_FC">"c8331"</definedName>
    <definedName name="IQ_SAVINGS_RATE_GDP_PCT">"c7012"</definedName>
    <definedName name="IQ_SAVINGS_RATE_GDP_PCT_FC">"c7892"</definedName>
    <definedName name="IQ_SAVINGS_RATE_GDP_PCT_POP">"c7232"</definedName>
    <definedName name="IQ_SAVINGS_RATE_GDP_PCT_POP_FC">"c8112"</definedName>
    <definedName name="IQ_SAVINGS_RATE_GDP_PCT_YOY">"c7452"</definedName>
    <definedName name="IQ_SAVINGS_RATE_GDP_PCT_YOY_FC">"c8332"</definedName>
    <definedName name="IQ_SAVINGS_RATE_PERSONAL_INC_PCT">"c7013"</definedName>
    <definedName name="IQ_SAVINGS_RATE_PERSONAL_INC_PCT_FC">"c7893"</definedName>
    <definedName name="IQ_SAVINGS_RATE_PERSONAL_INC_PCT_POP">"c7233"</definedName>
    <definedName name="IQ_SAVINGS_RATE_PERSONAL_INC_PCT_POP_FC">"c8113"</definedName>
    <definedName name="IQ_SAVINGS_RATE_PERSONAL_INC_PCT_YOY">"c7453"</definedName>
    <definedName name="IQ_SAVINGS_RATE_PERSONAL_INC_PCT_YOY_FC">"c8333"</definedName>
    <definedName name="IQ_SBC_EXPENSE_FFIEC">"c13077"</definedName>
    <definedName name="IQ_SEC_1_4_CONSTRUCTION_DOM_CHARGE_OFFS_FFIEC">"c13165"</definedName>
    <definedName name="IQ_SEC_1_4_CONSTRUCTION_DOM_RECOV_FFIEC">"c13187"</definedName>
    <definedName name="IQ_SEC_BORROWED_OFF_BS_FFIEC">"c13127"</definedName>
    <definedName name="IQ_SEC_FARMLAND_DOM_CHARGE_OFFS_FFIEC">"c13167"</definedName>
    <definedName name="IQ_SEC_FARMLAND_DOM_RECOV_FFIEC">"c13189"</definedName>
    <definedName name="IQ_SEC_FUNDS_PURCHASED_ASSETS_TOT_FFIEC">"c13447"</definedName>
    <definedName name="IQ_SEC_ISSUED_US_AVAIL_SALE_FFIEC">"c12795"</definedName>
    <definedName name="IQ_SEC_ISSUED_US_TRADING_DOM_FFIEC">"c12920"</definedName>
    <definedName name="IQ_SEC_ISSUED_US_TRADING_FFIEC">"c12815"</definedName>
    <definedName name="IQ_SEC_MULTIFAM_DOM_CHARGE_OFFS_FFIEC">"c13171"</definedName>
    <definedName name="IQ_SEC_MULTIFAM_DOM_DUE_30_89_FFIEC">"c13263"</definedName>
    <definedName name="IQ_SEC_MULTIFAM_DOM_DUE_90_FFIEC">"c13291"</definedName>
    <definedName name="IQ_SEC_MULTIFAM_DOM_NON_ACCRUAL_FFIEC">"c13317"</definedName>
    <definedName name="IQ_SEC_MULTIFAM_DOM_RECOV_FFIEC">"c13193"</definedName>
    <definedName name="IQ_SEC_NONFARM_NONRES_CHARGE_OFFS_FFIEC">"c13629"</definedName>
    <definedName name="IQ_SEC_NONFARM_NONRES_DOM_OFFICES_DUE_30_89_FFIEC">"c13264"</definedName>
    <definedName name="IQ_SEC_NONFARM_NONRES_DOM_OFFICES_DUE_90_FFIEC">"c13292"</definedName>
    <definedName name="IQ_SEC_NONFARM_NONRES_DOM_OFFICES_NON_ACCRUAL_FFIEC">"c13318"</definedName>
    <definedName name="IQ_SEC_NONFARM_NONRES_RECOV_FFIEC">"c13633"</definedName>
    <definedName name="IQ_SEC_OTHER_CONSTRUCTION_DOM_CHARGE_OFFS_FFIEC">"c13166"</definedName>
    <definedName name="IQ_SEC_OTHER_CONSTRUCTION_DOM_RECOV_FFIEC">"c13188"</definedName>
    <definedName name="IQ_SEC_OTHER_NONFARM_NONRES_CHARGE_OFFS_FFIEC">"c13173"</definedName>
    <definedName name="IQ_SEC_OTHER_NONFARM_NONRES_DUE_30_89_FFIEC">"c13266"</definedName>
    <definedName name="IQ_SEC_OTHER_NONFARM_NONRES_DUE_90_FFIEC">"c13637"</definedName>
    <definedName name="IQ_SEC_OTHER_NONFARM_NONRES_NON_ACCRUAL_FFIEC">"c15462"</definedName>
    <definedName name="IQ_SEC_OTHER_NONFARM_NONRES_RECOV_FFIEC">"c13195"</definedName>
    <definedName name="IQ_SEC_OWNER_NONFARM_NONRES_CHARGE_OFFS_FFIEC">"c13172"</definedName>
    <definedName name="IQ_SEC_OWNER_NONFARM_NONRES_DUE_30_89_FFIEC">"c13265"</definedName>
    <definedName name="IQ_SEC_OWNER_NONFARM_NONRES_DUE_90_FFIEC">"c13636"</definedName>
    <definedName name="IQ_SEC_OWNER_NONFARM_NONRES_NON_ACCRUAL_FFIEC">"c15461"</definedName>
    <definedName name="IQ_SEC_OWNER_NONFARM_NONRES_RECOV_FFIEC">"c13194"</definedName>
    <definedName name="IQ_SEC_PURCHASED_RESELL">"c5513"</definedName>
    <definedName name="IQ_SEC_PURCHASED_RESELL_FFIEC">"c12807"</definedName>
    <definedName name="IQ_SEC_RE_FOREIGN_DUE_30_89_FFIEC">"c13267"</definedName>
    <definedName name="IQ_SEC_RE_FOREIGN_DUE_90_FFIEC">"c13293"</definedName>
    <definedName name="IQ_SEC_RE_FOREIGN_NON_ACCRUAL_FFIEC">"c13319"</definedName>
    <definedName name="IQ_SEC_SOLD_REPURCHASE_FFIEC">"c12857"</definedName>
    <definedName name="IQ_SECUR_RECEIV">"c1151"</definedName>
    <definedName name="IQ_SECURED_1_4_FAMILY_RESIDENTIAL_CHARGE_OFFS_FDIC">"c6590"</definedName>
    <definedName name="IQ_SECURED_1_4_FAMILY_RESIDENTIAL_NET_CHARGE_OFFS_FDIC">"c6628"</definedName>
    <definedName name="IQ_SECURED_1_4_FAMILY_RESIDENTIAL_RECOVERIES_FDIC">"c6609"</definedName>
    <definedName name="IQ_SECURED_DEBT">"c2546"</definedName>
    <definedName name="IQ_SECURED_DEBT_PCT">"c2547"</definedName>
    <definedName name="IQ_SECURED_FARMLAND_CHARGE_OFFS_FDIC">"c6593"</definedName>
    <definedName name="IQ_SECURED_FARMLAND_DOM_DUE_30_89_FFIEC">"c13259"</definedName>
    <definedName name="IQ_SECURED_FARMLAND_DOM_DUE_90_FFIEC">"c13287"</definedName>
    <definedName name="IQ_SECURED_FARMLAND_DOM_NON_ACCRUAL_FFIEC">"c13313"</definedName>
    <definedName name="IQ_SECURED_FARMLAND_LL_REC_DOM_FFIEC">"c12901"</definedName>
    <definedName name="IQ_SECURED_FARMLAND_NET_CHARGE_OFFS_FDIC">"c6631"</definedName>
    <definedName name="IQ_SECURED_FARMLAND_RECOVERIES_FDIC">"c6612"</definedName>
    <definedName name="IQ_SECURED_MULTI_RES_LL_REC_DOM_FFIEC">"c12905"</definedName>
    <definedName name="IQ_SECURED_MULTIFAMILY_RESIDENTIAL_CHARGE_OFFS_FDIC">"c6591"</definedName>
    <definedName name="IQ_SECURED_MULTIFAMILY_RESIDENTIAL_NET_CHARGE_OFFS_FDIC">"c6629"</definedName>
    <definedName name="IQ_SECURED_MULTIFAMILY_RESIDENTIAL_RECOVERIES_FDIC">"c6610"</definedName>
    <definedName name="IQ_SECURED_NONFARM_NONRESIDENTIAL_CHARGE_OFFS_FDIC">"c6592"</definedName>
    <definedName name="IQ_SECURED_NONFARM_NONRESIDENTIAL_NET_CHARGE_OFFS_FDIC">"c6630"</definedName>
    <definedName name="IQ_SECURED_NONFARM_NONRESIDENTIAL_RECOVERIES_FDIC">"c6611"</definedName>
    <definedName name="IQ_SECURITIES_GAINS_FDIC">"c6584"</definedName>
    <definedName name="IQ_SECURITIES_HELD_MATURITY_FFIEC">"c12777"</definedName>
    <definedName name="IQ_SECURITIES_ISSUED_STATES_FDIC">"c6300"</definedName>
    <definedName name="IQ_SECURITIES_ISSUED_US_FFIEC">"c12781"</definedName>
    <definedName name="IQ_SECURITIES_LENT_FDIC">"c6532"</definedName>
    <definedName name="IQ_SECURITIES_LENT_FFIEC">"c13255"</definedName>
    <definedName name="IQ_SECURITIES_QUARTERLY_AVG_FFIEC">"c13079"</definedName>
    <definedName name="IQ_SECURITIES_STATE_POLI_SUBD_QUARTERLY_AVG_FFIEC">"c15470"</definedName>
    <definedName name="IQ_SECURITIES_UNDERWRITING_FDIC">"c6529"</definedName>
    <definedName name="IQ_SECURITIES_UNDERWRITING_UNUSED_FFIEC">"c13247"</definedName>
    <definedName name="IQ_SECURITIZATION_INC_OPERATING_INC_FFIEC">"c13390"</definedName>
    <definedName name="IQ_SECURITIZATION_INCOME_FFIEC">"c13012"</definedName>
    <definedName name="IQ_SECURITY_ACTIVE_STATUS">"c15160"</definedName>
    <definedName name="IQ_SECURITY_BORROW">"c1152"</definedName>
    <definedName name="IQ_SECURITY_LEVEL">"c2159"</definedName>
    <definedName name="IQ_SECURITY_NAME">"c15159"</definedName>
    <definedName name="IQ_SECURITY_NOTES">"c2202"</definedName>
    <definedName name="IQ_SECURITY_OWN">"c1153"</definedName>
    <definedName name="IQ_SECURITY_RESELL">"c1154"</definedName>
    <definedName name="IQ_SECURITY_TYPE">"c2158"</definedName>
    <definedName name="IQ_SELECTED_FOREIGN_ASSETS_FFIEC">"c13485"</definedName>
    <definedName name="IQ_SEMI_BACKLOG">"c10005"</definedName>
    <definedName name="IQ_SEMI_BACKLOG_AVG_PRICE">"c10006"</definedName>
    <definedName name="IQ_SEMI_BACKLOG_VALUE">"c10007"</definedName>
    <definedName name="IQ_SEMI_BOOK_TO_BILL_RATIO">"c10008"</definedName>
    <definedName name="IQ_SEMI_ORDER_AVG_PRICE">"c10002"</definedName>
    <definedName name="IQ_SEMI_ORDER_VALUE">"c10003"</definedName>
    <definedName name="IQ_SEMI_ORDER_VALUE_CHANGE">"c10004"</definedName>
    <definedName name="IQ_SEMI_ORDERS">"c10001"</definedName>
    <definedName name="IQ_SEMI_WARRANTY_RES_ACQ">"c10011"</definedName>
    <definedName name="IQ_SEMI_WARRANTY_RES_BEG">"c10009"</definedName>
    <definedName name="IQ_SEMI_WARRANTY_RES_END">"c10014"</definedName>
    <definedName name="IQ_SEMI_WARRANTY_RES_ISS">"c10010"</definedName>
    <definedName name="IQ_SEMI_WARRANTY_RES_OTHER">"c10013"</definedName>
    <definedName name="IQ_SEMI_WARRANTY_RES_PAY">"c10012"</definedName>
    <definedName name="IQ_SEP_ACCOUNT_ASSETS_LH_FFIEC">"c13105"</definedName>
    <definedName name="IQ_SEPARATE_ACCOUNT_LIAB_LH_FFIEC">"c13108"</definedName>
    <definedName name="IQ_SEPARATE_ACCT_ASSETS">"c1155"</definedName>
    <definedName name="IQ_SEPARATE_ACCT_LIAB">"c1156"</definedName>
    <definedName name="IQ_SERV_CHARGE_DEPOSITS">"c1157"</definedName>
    <definedName name="IQ_SERVICE_CHARGES_DEPOSIT_ACCOUNTS_DOM_FFIEC">"c13003"</definedName>
    <definedName name="IQ_SERVICE_CHARGES_FDIC">"c6572"</definedName>
    <definedName name="IQ_SERVICE_CHARGES_OPERATING_INC_FFIEC">"c13384"</definedName>
    <definedName name="IQ_SERVICE_FEE">"c8951"</definedName>
    <definedName name="IQ_SERVICING_FEES_FFIEC">"c13011"</definedName>
    <definedName name="IQ_SERVICING_FEES_OPERATING_INC_FFIEC">"c13389"</definedName>
    <definedName name="IQ_SGA">"c1158"</definedName>
    <definedName name="IQ_SGA_BNK">"c1159"</definedName>
    <definedName name="IQ_SGA_INS">"c1160"</definedName>
    <definedName name="IQ_SGA_MARGIN">"c1898"</definedName>
    <definedName name="IQ_SGA_RE">"c6265"</definedName>
    <definedName name="IQ_SGA_REIT">"c1161"</definedName>
    <definedName name="IQ_SGA_SUPPL">"c1162"</definedName>
    <definedName name="IQ_SGA_UTI">"c1163"</definedName>
    <definedName name="IQ_SHAREOUTSTANDING">"c1347"</definedName>
    <definedName name="IQ_SHARES_PER_DR">"c204"</definedName>
    <definedName name="IQ_SHARES_PURCHASED_AVERAGE_PRICE">"c5821"</definedName>
    <definedName name="IQ_SHARES_PURCHASED_QUARTER">"c5820"</definedName>
    <definedName name="IQ_SHARESOUTSTANDING">"c1164"</definedName>
    <definedName name="IQ_SHORT_INTEREST">"c1165"</definedName>
    <definedName name="IQ_SHORT_INTEREST_OVER_FLOAT">"c1577"</definedName>
    <definedName name="IQ_SHORT_INTEREST_PERCENT">"c1576"</definedName>
    <definedName name="IQ_SHORT_POSITIONS_FFIEC">"c12859"</definedName>
    <definedName name="IQ_SHORT_TERM_INVEST">"c1425"</definedName>
    <definedName name="IQ_SMALL_INT_BEAR_CD">"c1166"</definedName>
    <definedName name="IQ_SOC_SEC_RECEIPTS_SAAR_USD_APR_FC">"c12005"</definedName>
    <definedName name="IQ_SOC_SEC_RECEIPTS_SAAR_USD_FC">"c12002"</definedName>
    <definedName name="IQ_SOC_SEC_RECEIPTS_SAAR_USD_POP_FC">"c12003"</definedName>
    <definedName name="IQ_SOC_SEC_RECEIPTS_SAAR_USD_YOY_FC">"c12004"</definedName>
    <definedName name="IQ_SOC_SEC_RECEIPTS_USD_APR_FC">"c12001"</definedName>
    <definedName name="IQ_SOC_SEC_RECEIPTS_USD_FC">"c11998"</definedName>
    <definedName name="IQ_SOC_SEC_RECEIPTS_USD_POP_FC">"c11999"</definedName>
    <definedName name="IQ_SOC_SEC_RECEIPTS_USD_YOY_FC">"c12000"</definedName>
    <definedName name="IQ_SOCIAL_SEC_RECEIPTS">"c7015"</definedName>
    <definedName name="IQ_SOCIAL_SEC_RECEIPTS_APR">"c7675"</definedName>
    <definedName name="IQ_SOCIAL_SEC_RECEIPTS_APR_FC">"c8555"</definedName>
    <definedName name="IQ_SOCIAL_SEC_RECEIPTS_FC">"c7895"</definedName>
    <definedName name="IQ_SOCIAL_SEC_RECEIPTS_POP">"c7235"</definedName>
    <definedName name="IQ_SOCIAL_SEC_RECEIPTS_POP_FC">"c8115"</definedName>
    <definedName name="IQ_SOCIAL_SEC_RECEIPTS_SAAR">"c7016"</definedName>
    <definedName name="IQ_SOCIAL_SEC_RECEIPTS_SAAR_APR">"c7676"</definedName>
    <definedName name="IQ_SOCIAL_SEC_RECEIPTS_SAAR_APR_FC">"c8556"</definedName>
    <definedName name="IQ_SOCIAL_SEC_RECEIPTS_SAAR_FC">"c7896"</definedName>
    <definedName name="IQ_SOCIAL_SEC_RECEIPTS_SAAR_POP">"c7236"</definedName>
    <definedName name="IQ_SOCIAL_SEC_RECEIPTS_SAAR_POP_FC">"c8116"</definedName>
    <definedName name="IQ_SOCIAL_SEC_RECEIPTS_SAAR_YOY">"c7456"</definedName>
    <definedName name="IQ_SOCIAL_SEC_RECEIPTS_SAAR_YOY_FC">"c8336"</definedName>
    <definedName name="IQ_SOCIAL_SEC_RECEIPTS_YOY">"c7455"</definedName>
    <definedName name="IQ_SOCIAL_SEC_RECEIPTS_YOY_FC">"c8335"</definedName>
    <definedName name="IQ_SOFTWARE">"c1167"</definedName>
    <definedName name="IQ_SOURCE">"c1168"</definedName>
    <definedName name="IQ_SP_BANK">"c2637"</definedName>
    <definedName name="IQ_SP_BANK_ACTION">"c2636"</definedName>
    <definedName name="IQ_SP_BANK_DATE">"c2635"</definedName>
    <definedName name="IQ_SP_FIN_ENHANCE_FX">"c2631"</definedName>
    <definedName name="IQ_SP_FIN_ENHANCE_FX_ACTION">"c2630"</definedName>
    <definedName name="IQ_SP_FIN_ENHANCE_FX_DATE">"c2629"</definedName>
    <definedName name="IQ_SP_FIN_ENHANCE_LC">"c2634"</definedName>
    <definedName name="IQ_SP_FIN_ENHANCE_LC_ACTION">"c2633"</definedName>
    <definedName name="IQ_SP_FIN_ENHANCE_LC_DATE">"c2632"</definedName>
    <definedName name="IQ_SP_FIN_STRENGTH_LC_ACTION_LT">"c2625"</definedName>
    <definedName name="IQ_SP_FIN_STRENGTH_LC_ACTION_ST">"c2626"</definedName>
    <definedName name="IQ_SP_FIN_STRENGTH_LC_DATE_LT">"c2623"</definedName>
    <definedName name="IQ_SP_FIN_STRENGTH_LC_DATE_ST">"c2624"</definedName>
    <definedName name="IQ_SP_FIN_STRENGTH_LC_LT">"c2627"</definedName>
    <definedName name="IQ_SP_FIN_STRENGTH_LC_ST">"c2628"</definedName>
    <definedName name="IQ_SP_FX_ACTION_LT">"c2613"</definedName>
    <definedName name="IQ_SP_FX_ACTION_ST">"c2614"</definedName>
    <definedName name="IQ_SP_FX_DATE_LT">"c2611"</definedName>
    <definedName name="IQ_SP_FX_DATE_ST">"c2612"</definedName>
    <definedName name="IQ_SP_FX_LT">"c2615"</definedName>
    <definedName name="IQ_SP_FX_ST">"c2616"</definedName>
    <definedName name="IQ_SP_ISSUE_ACTION">"c2644"</definedName>
    <definedName name="IQ_SP_ISSUE_DATE">"c2643"</definedName>
    <definedName name="IQ_SP_ISSUE_LT">"c2645"</definedName>
    <definedName name="IQ_SP_ISSUE_NSR_ACTION_LT">"c13616"</definedName>
    <definedName name="IQ_SP_ISSUE_NSR_ACTION_ST">"c13622"</definedName>
    <definedName name="IQ_SP_ISSUE_NSR_DATE_LT">"c13615"</definedName>
    <definedName name="IQ_SP_ISSUE_NSR_DATE_ST">"c13621"</definedName>
    <definedName name="IQ_SP_ISSUE_NSR_LT">"c13614"</definedName>
    <definedName name="IQ_SP_ISSUE_NSR_ST">"c13620"</definedName>
    <definedName name="IQ_SP_ISSUE_OUTLOOK_WATCH">"c2650"</definedName>
    <definedName name="IQ_SP_ISSUE_OUTLOOK_WATCH_DATE">"c2649"</definedName>
    <definedName name="IQ_SP_ISSUE_RECOVER">"c2648"</definedName>
    <definedName name="IQ_SP_ISSUE_RECOVER_ACTION">"c2647"</definedName>
    <definedName name="IQ_SP_ISSUE_RECOVER_DATE">"c2646"</definedName>
    <definedName name="IQ_SP_LC_ACTION_LT">"c2619"</definedName>
    <definedName name="IQ_SP_LC_ACTION_ST">"c2620"</definedName>
    <definedName name="IQ_SP_LC_DATE_LT">"c2617"</definedName>
    <definedName name="IQ_SP_LC_DATE_ST">"c2618"</definedName>
    <definedName name="IQ_SP_LC_LT">"c2621"</definedName>
    <definedName name="IQ_SP_LC_ST">"c2622"</definedName>
    <definedName name="IQ_SP_NSR_ACTION_LT">"c13613"</definedName>
    <definedName name="IQ_SP_NSR_ACTION_ST">"c13619"</definedName>
    <definedName name="IQ_SP_NSR_DATE_LT">"c13612"</definedName>
    <definedName name="IQ_SP_NSR_DATE_ST">"c13618"</definedName>
    <definedName name="IQ_SP_NSR_LT">"c13611"</definedName>
    <definedName name="IQ_SP_NSR_ST">"c13617"</definedName>
    <definedName name="IQ_SP_OUTLOOK_WATCH">"c2639"</definedName>
    <definedName name="IQ_SP_OUTLOOK_WATCH_DATE">"c2638"</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"c6266"</definedName>
    <definedName name="IQ_SPECIAL_DIV_CF_REIT">"c1174"</definedName>
    <definedName name="IQ_SPECIAL_DIV_CF_UTI">"c1175"</definedName>
    <definedName name="IQ_SPECIAL_DIV_SHARE">"c3007"</definedName>
    <definedName name="IQ_SPECIFIC_ALLOWANCE">"c15247"</definedName>
    <definedName name="IQ_SQ_FT_LEASED_GROSS_CONSOL">"c8820"</definedName>
    <definedName name="IQ_SQ_FT_LEASED_GROSS_MANAGED">"c8822"</definedName>
    <definedName name="IQ_SQ_FT_LEASED_GROSS_OTHER">"c8823"</definedName>
    <definedName name="IQ_SQ_FT_LEASED_GROSS_TOTAL">"c8824"</definedName>
    <definedName name="IQ_SQ_FT_LEASED_GROSS_UNCONSOL">"c8821"</definedName>
    <definedName name="IQ_SQ_FT_LEASED_NET_CONSOL">"c8825"</definedName>
    <definedName name="IQ_SQ_FT_LEASED_NET_MANAGED">"c8827"</definedName>
    <definedName name="IQ_SQ_FT_LEASED_NET_OTHER">"c8828"</definedName>
    <definedName name="IQ_SQ_FT_LEASED_NET_TOTAL">"c8829"</definedName>
    <definedName name="IQ_SQ_FT_LEASED_NET_UNCONSOL">"c8826"</definedName>
    <definedName name="IQ_SQ_METER_LEASED_GROSS_CONSOL">"c8830"</definedName>
    <definedName name="IQ_SQ_METER_LEASED_GROSS_MANAGED">"c8832"</definedName>
    <definedName name="IQ_SQ_METER_LEASED_GROSS_OTHER">"c8833"</definedName>
    <definedName name="IQ_SQ_METER_LEASED_GROSS_TOTAL">"c8834"</definedName>
    <definedName name="IQ_SQ_METER_LEASED_GROSS_UNCONSOL">"c8831"</definedName>
    <definedName name="IQ_SQ_METER_LEASED_NET_CONSOL">"c8835"</definedName>
    <definedName name="IQ_SQ_METER_LEASED_NET_MANAGED">"c8837"</definedName>
    <definedName name="IQ_SQ_METER_LEASED_NET_OTHER">"c8838"</definedName>
    <definedName name="IQ_SQ_METER_LEASED_NET_TOTAL">"c8839"</definedName>
    <definedName name="IQ_SQ_METER_LEASED_NET_UNCONSOL">"c8836"</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"c6267"</definedName>
    <definedName name="IQ_ST_DEBT_ISSUED_REIT">"c1186"</definedName>
    <definedName name="IQ_ST_DEBT_ISSUED_UTI">"c1187"</definedName>
    <definedName name="IQ_ST_DEBT_PCT">"c2539"</definedName>
    <definedName name="IQ_ST_DEBT_RE">"c6268"</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"c6269"</definedName>
    <definedName name="IQ_ST_DEBT_REPAID_REIT">"c1194"</definedName>
    <definedName name="IQ_ST_DEBT_REPAID_UTI">"c1195"</definedName>
    <definedName name="IQ_ST_DEBT_UTI">"c1196"</definedName>
    <definedName name="IQ_ST_FHLB_DEBT">"c5658"</definedName>
    <definedName name="IQ_ST_INVEST">"c1197"</definedName>
    <definedName name="IQ_ST_INVEST_ASSETS_TOT_FFIEC">"c13438"</definedName>
    <definedName name="IQ_ST_INVEST_ST_NONCORE_FUNDING_FFIEC">"c13338"</definedName>
    <definedName name="IQ_ST_INVEST_UTI">"c1198"</definedName>
    <definedName name="IQ_ST_NOTE_RECEIV">"c1199"</definedName>
    <definedName name="IQ_STAND_REC_DET_EST">"c12069"</definedName>
    <definedName name="IQ_STAND_REC_DET_EST_CIQ">"c12133"</definedName>
    <definedName name="IQ_STAND_REC_DET_EST_DATE">"c12222"</definedName>
    <definedName name="IQ_STAND_REC_DET_EST_DATE_CIQ">"c12279"</definedName>
    <definedName name="IQ_STAND_REC_DET_EST_ORIGIN">"c12594"</definedName>
    <definedName name="IQ_STAND_REC_DET_EST_ORIGIN_CIQ">"c12648"</definedName>
    <definedName name="IQ_STAND_REC_NUM_DET_EST">"c12068"</definedName>
    <definedName name="IQ_STAND_REC_NUM_DET_EST_CIQ">"c12132"</definedName>
    <definedName name="IQ_STAND_REC_NUM_DET_EST_DATE">"c12221"</definedName>
    <definedName name="IQ_STAND_REC_NUM_DET_EST_DATE_CIQ">"c12278"</definedName>
    <definedName name="IQ_STAND_REC_NUM_DET_EST_ORIGIN">"c12593"</definedName>
    <definedName name="IQ_STAND_REC_NUM_DET_EST_ORIGIN_CIQ">"c12647"</definedName>
    <definedName name="IQ_STANDBY_LOC_FHLB_BANK_BEHALF_OFF_BS_FFIEC">"c15412"</definedName>
    <definedName name="IQ_STATE">"c1200"</definedName>
    <definedName name="IQ_STATE_LOCAL_SPENDING_SAAR">"c7017"</definedName>
    <definedName name="IQ_STATE_LOCAL_SPENDING_SAAR_APR">"c7677"</definedName>
    <definedName name="IQ_STATE_LOCAL_SPENDING_SAAR_APR_FC">"c8557"</definedName>
    <definedName name="IQ_STATE_LOCAL_SPENDING_SAAR_FC">"c7897"</definedName>
    <definedName name="IQ_STATE_LOCAL_SPENDING_SAAR_POP">"c7237"</definedName>
    <definedName name="IQ_STATE_LOCAL_SPENDING_SAAR_POP_FC">"c8117"</definedName>
    <definedName name="IQ_STATE_LOCAL_SPENDING_SAAR_YOY">"c7457"</definedName>
    <definedName name="IQ_STATE_LOCAL_SPENDING_SAAR_YOY_FC">"c8337"</definedName>
    <definedName name="IQ_STATES_NONTRANSACTION_ACCOUNTS_FDIC">"c6547"</definedName>
    <definedName name="IQ_STATES_POLI_SUBD_US_NON_TRANS_ACCTS_FFIEC">"c15324"</definedName>
    <definedName name="IQ_STATES_POLI_SUBD_US_TRANS_ACCTS_FFIEC">"c15316"</definedName>
    <definedName name="IQ_STATES_TOTAL_DEPOSITS_FDIC">"c6473"</definedName>
    <definedName name="IQ_STATES_TRANSACTION_ACCOUNTS_FDIC">"c6539"</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COMP">"c3512"</definedName>
    <definedName name="IQ_STOCK_BASED_COMP_PRETAX">"c3510"</definedName>
    <definedName name="IQ_STOCK_BASED_COMP_TAX">"c3511"</definedName>
    <definedName name="IQ_STOCK_BASED_EST">"c4520"</definedName>
    <definedName name="IQ_STOCK_BASED_EST_CIQ">"c5073"</definedName>
    <definedName name="IQ_STOCK_BASED_EXPLORE_DRILL">"c13851"</definedName>
    <definedName name="IQ_STOCK_BASED_GA">"c2993"</definedName>
    <definedName name="IQ_STOCK_BASED_HIGH_EST">"c4521"</definedName>
    <definedName name="IQ_STOCK_BASED_HIGH_EST_CIQ">"c5074"</definedName>
    <definedName name="IQ_STOCK_BASED_LOW_EST">"c4522"</definedName>
    <definedName name="IQ_STOCK_BASED_LOW_EST_CIQ">"c5075"</definedName>
    <definedName name="IQ_STOCK_BASED_MEDIAN_EST">"c4523"</definedName>
    <definedName name="IQ_STOCK_BASED_MEDIAN_EST_CIQ">"c5076"</definedName>
    <definedName name="IQ_STOCK_BASED_NUM_EST">"c4524"</definedName>
    <definedName name="IQ_STOCK_BASED_NUM_EST_CIQ">"c5077"</definedName>
    <definedName name="IQ_STOCK_BASED_OTHER">"c2995"</definedName>
    <definedName name="IQ_STOCK_BASED_RD">"c2991"</definedName>
    <definedName name="IQ_STOCK_BASED_SGA">"c2994"</definedName>
    <definedName name="IQ_STOCK_BASED_SM">"c2992"</definedName>
    <definedName name="IQ_STOCK_BASED_STDDEV_EST">"c4525"</definedName>
    <definedName name="IQ_STOCK_BASED_STDDEV_EST_CIQ">"c5078"</definedName>
    <definedName name="IQ_STOCK_BASED_TOTAL">"c3040"</definedName>
    <definedName name="IQ_STOCK_OPTIONS_COMP">"c3509"</definedName>
    <definedName name="IQ_STOCK_OPTIONS_COMP_PRETAX">"c3507"</definedName>
    <definedName name="IQ_STOCK_OPTIONS_COMP_TAX">"c3508"</definedName>
    <definedName name="IQ_STRATEGY_NOTE">"c6791"</definedName>
    <definedName name="IQ_STRIKE_PRICE_ISSUED">"c1645"</definedName>
    <definedName name="IQ_STRIKE_PRICE_OS">"c1646"</definedName>
    <definedName name="IQ_STRIPS_RECEIVABLE_MORTGAGE_LOANS_FFIEC">"c12844"</definedName>
    <definedName name="IQ_STRIPS_RECEIVABLE_OTHER_FFIEC">"c12845"</definedName>
    <definedName name="IQ_STRUCT_FIN_CLASS">"c8950"</definedName>
    <definedName name="IQ_STRUCT_FIN_SERIES">"c8956"</definedName>
    <definedName name="IQ_STRUCTURED_NOTES_INVEST_SECURITIES_FFIEC">"c13468"</definedName>
    <definedName name="IQ_STRUCTURING_NOTES_TIER_1_FFIEC">"c13344"</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FDIC">"c6346"</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UB_NOTES_DEBENTURES_FAIR_VALUE_TOT_FFIEC">"c15410"</definedName>
    <definedName name="IQ_SUB_NOTES_DEBENTURES_FFIEC">"c12867"</definedName>
    <definedName name="IQ_SUB_NOTES_DEBENTURES_LEVEL_1_FFIEC">"c15432"</definedName>
    <definedName name="IQ_SUB_NOTES_DEBENTURES_LEVEL_2_FFIEC">"c15445"</definedName>
    <definedName name="IQ_SUB_NOTES_DEBENTURES_LEVEL_3_FFIEC">"c15458"</definedName>
    <definedName name="IQ_SUB_NOTES_PAYABLE_UNCONSOLIDATED_TRUSTS_FFIEC">"c12868"</definedName>
    <definedName name="IQ_SUPPLIES_FFIEC">"c13050"</definedName>
    <definedName name="IQ_SURPLUS_FDIC">"c6351"</definedName>
    <definedName name="IQ_SURPLUS_FFIEC">"c12877"</definedName>
    <definedName name="IQ_SVA">"c1214"</definedName>
    <definedName name="IQ_SYNTHETIC_STRUCTURED_PRODUCTS_AVAIL_SALE_FFIEC">"c15264"</definedName>
    <definedName name="IQ_SYNTHETIC_STRUCTURED_PRODUCTS_FFIEC">"c15261"</definedName>
    <definedName name="IQ_TANGIBLE_ASSETS_FFIEC">"c13916"</definedName>
    <definedName name="IQ_TANGIBLE_COMMON_EQUITY_FFIEC">"c13914"</definedName>
    <definedName name="IQ_TANGIBLE_EQUITY_ASSETS_FFIEC">"c13346"</definedName>
    <definedName name="IQ_TANGIBLE_EQUITY_FFIEC">"c13915"</definedName>
    <definedName name="IQ_TANGIBLE_TIER_1_LEVERAGE_FFIEC">"c13345"</definedName>
    <definedName name="IQ_TARGET_PRICE_DET_EST">"c12070"</definedName>
    <definedName name="IQ_TARGET_PRICE_DET_EST_CIQ">"c12134"</definedName>
    <definedName name="IQ_TARGET_PRICE_DET_EST_CURRENCY">"c12475"</definedName>
    <definedName name="IQ_TARGET_PRICE_DET_EST_CURRENCY_CIQ">"c12523"</definedName>
    <definedName name="IQ_TARGET_PRICE_DET_EST_DATE">"c12223"</definedName>
    <definedName name="IQ_TARGET_PRICE_DET_EST_DATE_CIQ">"c12280"</definedName>
    <definedName name="IQ_TARGET_PRICE_DET_EST_INCL">"c12358"</definedName>
    <definedName name="IQ_TARGET_PRICE_DET_EST_INCL_CIQ">"c12406"</definedName>
    <definedName name="IQ_TARGET_PRICE_DET_EST_ORIGIN">"c12729"</definedName>
    <definedName name="IQ_TARGET_PRICE_DET_EST_ORIGIN_CIQ">"c12730"</definedName>
    <definedName name="IQ_TARGET_PRICE_NUM">"c1653"</definedName>
    <definedName name="IQ_TARGET_PRICE_NUM_CIQ">"c4661"</definedName>
    <definedName name="IQ_TARGET_PRICE_STDDEV">"c1654"</definedName>
    <definedName name="IQ_TARGET_PRICE_STDDEV_CIQ">"c4662"</definedName>
    <definedName name="IQ_TAX_BENEFIT_CF_1YR">"c3483"</definedName>
    <definedName name="IQ_TAX_BENEFIT_CF_2YR">"c3484"</definedName>
    <definedName name="IQ_TAX_BENEFIT_CF_3YR">"c3485"</definedName>
    <definedName name="IQ_TAX_BENEFIT_CF_4YR">"c3486"</definedName>
    <definedName name="IQ_TAX_BENEFIT_CF_5YR">"c3487"</definedName>
    <definedName name="IQ_TAX_BENEFIT_CF_AFTER_FIVE">"c3488"</definedName>
    <definedName name="IQ_TAX_BENEFIT_CF_MAX_YEAR">"c3491"</definedName>
    <definedName name="IQ_TAX_BENEFIT_CF_NO_EXP">"c3489"</definedName>
    <definedName name="IQ_TAX_BENEFIT_CF_TOTAL">"c3490"</definedName>
    <definedName name="IQ_TAX_BENEFIT_OPTIONS">"c1215"</definedName>
    <definedName name="IQ_TAX_EQUIV_NET_INT_INC">"c1216"</definedName>
    <definedName name="IQ_TAX_EQUIVALENT_ADJUSTMENTS_FFIEC">"c13854"</definedName>
    <definedName name="IQ_TAX_OTHER_EXP_AP">"c8878"</definedName>
    <definedName name="IQ_TAX_OTHER_EXP_AP_ABS">"c8897"</definedName>
    <definedName name="IQ_TAX_OTHER_EXP_NAME_AP">"c8916"</definedName>
    <definedName name="IQ_TAX_OTHER_EXP_NAME_AP_ABS">"c8935"</definedName>
    <definedName name="IQ_TAXES_ADJ_NOI_FFIEC">"c13395"</definedName>
    <definedName name="IQ_TAXES_NOI_FFIEC">"c13394"</definedName>
    <definedName name="IQ_TAXES_TE_AVG_ASSETS_FFIEC">"c13366"</definedName>
    <definedName name="IQ_TBV">"c1906"</definedName>
    <definedName name="IQ_TBV_10YR_ANN_CAGR">"c6169"</definedName>
    <definedName name="IQ_TBV_10YR_ANN_GROWTH">"c1936"</definedName>
    <definedName name="IQ_TBV_1YR_ANN_GROWTH">"c1931"</definedName>
    <definedName name="IQ_TBV_2YR_ANN_CAGR">"c6165"</definedName>
    <definedName name="IQ_TBV_2YR_ANN_GROWTH">"c1932"</definedName>
    <definedName name="IQ_TBV_3YR_ANN_CAGR">"c6166"</definedName>
    <definedName name="IQ_TBV_3YR_ANN_GROWTH">"c1933"</definedName>
    <definedName name="IQ_TBV_5YR_ANN_CAGR">"c6167"</definedName>
    <definedName name="IQ_TBV_5YR_ANN_GROWTH">"c1934"</definedName>
    <definedName name="IQ_TBV_7YR_ANN_CAGR">"c6168"</definedName>
    <definedName name="IQ_TBV_7YR_ANN_GROWTH">"c1935"</definedName>
    <definedName name="IQ_TBV_EXCL_FFIEC">"c13516"</definedName>
    <definedName name="IQ_TBV_SHARE">"c1217"</definedName>
    <definedName name="IQ_TELECOM_FFIEC">"c13057"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_FWD">"c2238"</definedName>
    <definedName name="IQ_TEV_EBIT_FWD_CIQ">"c4047"</definedName>
    <definedName name="IQ_TEV_EBITDA">"c1222"</definedName>
    <definedName name="IQ_TEV_EBITDA_AVG">"c1223"</definedName>
    <definedName name="IQ_TEV_EBITDA_FWD">"c1224"</definedName>
    <definedName name="IQ_TEV_EBITDA_FWD_CIQ">"c4043"</definedName>
    <definedName name="IQ_TEV_EMPLOYEE_AVG">"c1225"</definedName>
    <definedName name="IQ_TEV_EST">"c4526"</definedName>
    <definedName name="IQ_TEV_EST_CIQ">"c5079"</definedName>
    <definedName name="IQ_TEV_HIGH_EST">"c4527"</definedName>
    <definedName name="IQ_TEV_HIGH_EST_CIQ">"c5080"</definedName>
    <definedName name="IQ_TEV_LOW_EST">"c4528"</definedName>
    <definedName name="IQ_TEV_LOW_EST_CIQ">"c5081"</definedName>
    <definedName name="IQ_TEV_MEDIAN_EST">"c4529"</definedName>
    <definedName name="IQ_TEV_MEDIAN_EST_CIQ">"c5082"</definedName>
    <definedName name="IQ_TEV_NUM_EST">"c4530"</definedName>
    <definedName name="IQ_TEV_NUM_EST_CIQ">"c5083"</definedName>
    <definedName name="IQ_TEV_STDDEV_EST">"c4531"</definedName>
    <definedName name="IQ_TEV_STDDEV_EST_CIQ">"c5084"</definedName>
    <definedName name="IQ_TEV_TOTAL_REV">"c1226"</definedName>
    <definedName name="IQ_TEV_TOTAL_REV_AVG">"c1227"</definedName>
    <definedName name="IQ_TEV_TOTAL_REV_FWD">"c1228"</definedName>
    <definedName name="IQ_TEV_TOTAL_REV_FWD_CIQ">"c4044"</definedName>
    <definedName name="IQ_TEV_UFCF">"c2208"</definedName>
    <definedName name="IQ_THREE_MONTHS_FIXED_AND_FLOATING_FDIC">"c6419"</definedName>
    <definedName name="IQ_THREE_MONTHS_MORTGAGE_PASS_THROUGHS_FDIC">"c6411"</definedName>
    <definedName name="IQ_THREE_YEAR_FIXED_AND_FLOATING_RATE_FDIC">"c6421"</definedName>
    <definedName name="IQ_THREE_YEAR_MORTGAGE_PASS_THROUGHS_FDIC">"c6413"</definedName>
    <definedName name="IQ_THREE_YEARS_LESS_FDIC">"c6417"</definedName>
    <definedName name="IQ_TIER_1_CAPITAL_BEFORE_CHARGES_T1_FFIEC">"c13139"</definedName>
    <definedName name="IQ_TIER_1_CAPITAL_FFIEC">"c13143"</definedName>
    <definedName name="IQ_TIER_1_LEVERAGE_RATIO_FFIEC">"c13160"</definedName>
    <definedName name="IQ_TIER_1_RISK_BASED_CAPITAL_RATIO_FDIC">"c6746"</definedName>
    <definedName name="IQ_TIER_1_RISK_BASED_CAPITAL_RATIO_FFIEC">"c13161"</definedName>
    <definedName name="IQ_TIER_2_CAPITAL_FFIEC">"c13149"</definedName>
    <definedName name="IQ_TIER_3_CAPITAL_ALLOCATED_MARKET_RISK_FFIEC">"c13151"</definedName>
    <definedName name="IQ_TIER_ONE_CAPITAL">"c2667"</definedName>
    <definedName name="IQ_TIER_ONE_FDIC">"c6369"</definedName>
    <definedName name="IQ_TIER_ONE_RATIO">"c1229"</definedName>
    <definedName name="IQ_TIER_TWO_CAPITAL">"c2669"</definedName>
    <definedName name="IQ_TIER_TWO_CAPITAL_RATIO">"c15241"</definedName>
    <definedName name="IQ_TIME_DEP">"c1230"</definedName>
    <definedName name="IQ_TIME_DEPOSIT_LESS_100000_QUARTERLY_AVG_FFIEC">"c15487"</definedName>
    <definedName name="IQ_TIME_DEPOSIT_MORE_100000_QUARTERLY_AVG_FFIEC">"c15486"</definedName>
    <definedName name="IQ_TIME_DEPOSITS_LESS_100K_OTHER_INSTITUTIONS_FFIEC">"c12953"</definedName>
    <definedName name="IQ_TIME_DEPOSITS_LESS_100K_TOT_DEPOSITS_FFIEC">"c13907"</definedName>
    <definedName name="IQ_TIME_DEPOSITS_LESS_THAN_100K_FDIC">"c6465"</definedName>
    <definedName name="IQ_TIME_DEPOSITS_MORE_100K_OTHER_INSTITUTIONS_FFIEC">"c12954"</definedName>
    <definedName name="IQ_TIME_DEPOSITS_MORE_100K_TOT_DEPOSITS_FFIEC">"c13906"</definedName>
    <definedName name="IQ_TIME_DEPOSITS_MORE_THAN_100K_FDIC">"c6470"</definedName>
    <definedName name="IQ_TODAY">0</definedName>
    <definedName name="IQ_TOT_1_4_FAM_LOANS_TOT_LOANS_FFIEC">"c13868"</definedName>
    <definedName name="IQ_TOT_ADJ_INC">"c1616"</definedName>
    <definedName name="IQ_TOT_LEASES_TOT_LOANS_FFIEC">"c13876"</definedName>
    <definedName name="IQ_TOT_NON_RE_LOANS_TOT_LOANS_FFIEC">"c13877"</definedName>
    <definedName name="IQ_TOT_NONTRANS_ACCTS_TOT_DEPOSITS_FFIEC">"c13909"</definedName>
    <definedName name="IQ_TOT_RE_LOANS_TOT_LOANS_FFIEC">"c13873"</definedName>
    <definedName name="IQ_TOT_TIME_DEPOSITS_TOT_DEPOSITS_FFIEC">"c13908"</definedName>
    <definedName name="IQ_TOTAL_AR_BR">"c1231"</definedName>
    <definedName name="IQ_TOTAL_AR_RE">"c6270"</definedName>
    <definedName name="IQ_TOTAL_AR_REIT">"c1232"</definedName>
    <definedName name="IQ_TOTAL_AR_UTI">"c1233"</definedName>
    <definedName name="IQ_TOTAL_ASSETS">"c1234"</definedName>
    <definedName name="IQ_TOTAL_ASSETS_10YR_ANN_CAGR">"c6140"</definedName>
    <definedName name="IQ_TOTAL_ASSETS_10YR_ANN_GROWTH">"c1235"</definedName>
    <definedName name="IQ_TOTAL_ASSETS_1YR_ANN_GROWTH">"c1236"</definedName>
    <definedName name="IQ_TOTAL_ASSETS_2YR_ANN_CAGR">"c6141"</definedName>
    <definedName name="IQ_TOTAL_ASSETS_2YR_ANN_GROWTH">"c1237"</definedName>
    <definedName name="IQ_TOTAL_ASSETS_3YR_ANN_CAGR">"c6142"</definedName>
    <definedName name="IQ_TOTAL_ASSETS_3YR_ANN_GROWTH">"c1238"</definedName>
    <definedName name="IQ_TOTAL_ASSETS_5YR_ANN_CAGR">"c6143"</definedName>
    <definedName name="IQ_TOTAL_ASSETS_5YR_ANN_GROWTH">"c1239"</definedName>
    <definedName name="IQ_TOTAL_ASSETS_7YR_ANN_CAGR">"c6144"</definedName>
    <definedName name="IQ_TOTAL_ASSETS_7YR_ANN_GROWTH">"c1240"</definedName>
    <definedName name="IQ_TOTAL_ASSETS_BNK_SUBTOTAL_AP">"c13644"</definedName>
    <definedName name="IQ_TOTAL_ASSETS_FAIR_VALUE_TOT_FFIEC">"c15405"</definedName>
    <definedName name="IQ_TOTAL_ASSETS_FDIC">"c6339"</definedName>
    <definedName name="IQ_TOTAL_ASSETS_FFIEC">"c12849"</definedName>
    <definedName name="IQ_TOTAL_ASSETS_LEVEL_1_FFIEC">"c15427"</definedName>
    <definedName name="IQ_TOTAL_ASSETS_LEVEL_2_FFIEC">"c15440"</definedName>
    <definedName name="IQ_TOTAL_ASSETS_LEVEL_3_FFIEC">"c15453"</definedName>
    <definedName name="IQ_TOTAL_ASSETS_LH_FFIEC">"c13106"</definedName>
    <definedName name="IQ_TOTAL_ASSETS_PC_FFIEC">"c13099"</definedName>
    <definedName name="IQ_TOTAL_ASSETS_SUBTOTAL_AP">"c8985"</definedName>
    <definedName name="IQ_TOTAL_ATTRIB_ORE_RESOURCES_ALUM">"c9241"</definedName>
    <definedName name="IQ_TOTAL_ATTRIB_ORE_RESOURCES_COP">"c9185"</definedName>
    <definedName name="IQ_TOTAL_ATTRIB_ORE_RESOURCES_DIAM">"c9665"</definedName>
    <definedName name="IQ_TOTAL_ATTRIB_ORE_RESOURCES_GOLD">"c9026"</definedName>
    <definedName name="IQ_TOTAL_ATTRIB_ORE_RESOURCES_IRON">"c9400"</definedName>
    <definedName name="IQ_TOTAL_ATTRIB_ORE_RESOURCES_LEAD">"c9453"</definedName>
    <definedName name="IQ_TOTAL_ATTRIB_ORE_RESOURCES_MANG">"c9506"</definedName>
    <definedName name="IQ_TOTAL_ATTRIB_ORE_RESOURCES_MOLYB">"c9718"</definedName>
    <definedName name="IQ_TOTAL_ATTRIB_ORE_RESOURCES_NICK">"c9294"</definedName>
    <definedName name="IQ_TOTAL_ATTRIB_ORE_RESOURCES_PLAT">"c9132"</definedName>
    <definedName name="IQ_TOTAL_ATTRIB_ORE_RESOURCES_SILVER">"c9079"</definedName>
    <definedName name="IQ_TOTAL_ATTRIB_ORE_RESOURCES_TITAN">"c9559"</definedName>
    <definedName name="IQ_TOTAL_ATTRIB_ORE_RESOURCES_URAN">"c9612"</definedName>
    <definedName name="IQ_TOTAL_ATTRIB_ORE_RESOURCES_ZINC">"c9347"</definedName>
    <definedName name="IQ_TOTAL_AVG_CE_TOTAL_AVG_ASSETS">"c1241"</definedName>
    <definedName name="IQ_TOTAL_AVG_EQUITY_TOTAL_AVG_ASSETS">"c1242"</definedName>
    <definedName name="IQ_TOTAL_BANK_CAPITAL">"c2668"</definedName>
    <definedName name="IQ_TOTAL_BEDS">"c8785"</definedName>
    <definedName name="IQ_TOTAL_BROKERED_DEPOSIT_FFIEC">"c15304"</definedName>
    <definedName name="IQ_TOTAL_CA">"c1243"</definedName>
    <definedName name="IQ_TOTAL_CA_SUBTOTAL_AP">"c8986"</definedName>
    <definedName name="IQ_TOTAL_CAP">"c1507"</definedName>
    <definedName name="IQ_TOTAL_CAPITAL_RATIO">"c1244"</definedName>
    <definedName name="IQ_TOTAL_CASH_DIVID">"c1455"</definedName>
    <definedName name="IQ_TOTAL_CASH_DUE_DEPOSITORY_INSTIT_DOM_FFIEC">"c15291"</definedName>
    <definedName name="IQ_TOTAL_CASH_DUE_DEPOSITORY_INSTIT_FFIEC">"c15285"</definedName>
    <definedName name="IQ_TOTAL_CASH_FINAN">"c1352"</definedName>
    <definedName name="IQ_TOTAL_CASH_INVEST">"c1353"</definedName>
    <definedName name="IQ_TOTAL_CASH_OPER">"c1354"</definedName>
    <definedName name="IQ_TOTAL_CHARGE_OFFS_FDIC">"c6603"</definedName>
    <definedName name="IQ_TOTAL_CHURN">"c2122"</definedName>
    <definedName name="IQ_TOTAL_CL">"c1245"</definedName>
    <definedName name="IQ_TOTAL_CL_SUBTOTAL_AP">"c8987"</definedName>
    <definedName name="IQ_TOTAL_COAL_PRODUCTION_COAL">"c9824"</definedName>
    <definedName name="IQ_TOTAL_COMMON">"c1411"</definedName>
    <definedName name="IQ_TOTAL_COMMON_EQUITY">"c1246"</definedName>
    <definedName name="IQ_TOTAL_COMMON_EQUITY_FFIEC">"c13913"</definedName>
    <definedName name="IQ_TOTAL_COMMON_EQUITY_TOTAL_ASSETS_FFIEC">"c13864"</definedName>
    <definedName name="IQ_TOTAL_COMMON_SHARES_OUT_FFIEC">"c12955"</definedName>
    <definedName name="IQ_TOTAL_CONSTRUCTION_LL_REC_DOM_FFIEC">"c13515"</definedName>
    <definedName name="IQ_TOTAL_CURRENT_ASSETS">"c1430"</definedName>
    <definedName name="IQ_TOTAL_CURRENT_LIAB">"c1431"</definedName>
    <definedName name="IQ_TOTAL_DEBT">"c1247"</definedName>
    <definedName name="IQ_TOTAL_DEBT_CAPITAL">"c1248"</definedName>
    <definedName name="IQ_TOTAL_DEBT_CURRENT">"c6190"</definedName>
    <definedName name="IQ_TOTAL_DEBT_EBITDA">"c1249"</definedName>
    <definedName name="IQ_TOTAL_DEBT_EBITDA_CAPEX">"c2948"</definedName>
    <definedName name="IQ_TOTAL_DEBT_EQUITY">"c1250"</definedName>
    <definedName name="IQ_TOTAL_DEBT_EST">"c4532"</definedName>
    <definedName name="IQ_TOTAL_DEBT_EST_CIQ">"c5085"</definedName>
    <definedName name="IQ_TOTAL_DEBT_EXCL_FIN">"c2937"</definedName>
    <definedName name="IQ_TOTAL_DEBT_HIGH_EST">"c4534"</definedName>
    <definedName name="IQ_TOTAL_DEBT_HIGH_EST_CIQ">"c5087"</definedName>
    <definedName name="IQ_TOTAL_DEBT_ISSUED">"c1251"</definedName>
    <definedName name="IQ_TOTAL_DEBT_ISSUED_BNK">"c1252"</definedName>
    <definedName name="IQ_TOTAL_DEBT_ISSUED_BR">"c1253"</definedName>
    <definedName name="IQ_TOTAL_DEBT_ISSUED_FIN">"c1254"</definedName>
    <definedName name="IQ_TOTAL_DEBT_ISSUED_RE">"c6271"</definedName>
    <definedName name="IQ_TOTAL_DEBT_ISSUED_REIT">"c1255"</definedName>
    <definedName name="IQ_TOTAL_DEBT_ISSUED_UTI">"c1256"</definedName>
    <definedName name="IQ_TOTAL_DEBT_ISSUES_INS">"c1257"</definedName>
    <definedName name="IQ_TOTAL_DEBT_LOW_EST">"c4535"</definedName>
    <definedName name="IQ_TOTAL_DEBT_LOW_EST_CIQ">"c5088"</definedName>
    <definedName name="IQ_TOTAL_DEBT_MEDIAN_EST">"c4536"</definedName>
    <definedName name="IQ_TOTAL_DEBT_MEDIAN_EST_CIQ">"c5089"</definedName>
    <definedName name="IQ_TOTAL_DEBT_NON_CURRENT">"c6191"</definedName>
    <definedName name="IQ_TOTAL_DEBT_NUM_EST">"c4537"</definedName>
    <definedName name="IQ_TOTAL_DEBT_NUM_EST_CIQ">"c5090"</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"c6272"</definedName>
    <definedName name="IQ_TOTAL_DEBT_REPAID_REIT">"c1263"</definedName>
    <definedName name="IQ_TOTAL_DEBT_REPAID_UTI">"c1264"</definedName>
    <definedName name="IQ_TOTAL_DEBT_SECURITIES_FDIC">"c6410"</definedName>
    <definedName name="IQ_TOTAL_DEBT_STDDEV_EST">"c4538"</definedName>
    <definedName name="IQ_TOTAL_DEBT_STDDEV_EST_CIQ">"c5091"</definedName>
    <definedName name="IQ_TOTAL_DEPOSITS">"c1265"</definedName>
    <definedName name="IQ_TOTAL_DEPOSITS_DOM_FFIEC">"c15313"</definedName>
    <definedName name="IQ_TOTAL_DEPOSITS_FDIC">"c6342"</definedName>
    <definedName name="IQ_TOTAL_DEPOSITS_FFIEC">"c13623"</definedName>
    <definedName name="IQ_TOTAL_DEPOSITS_SUPPLE">"c15253"</definedName>
    <definedName name="IQ_TOTAL_DIV_PAID_CF">"c1266"</definedName>
    <definedName name="IQ_TOTAL_EMPLOYEE">"c2141"</definedName>
    <definedName name="IQ_TOTAL_EMPLOYEES">"c1522"</definedName>
    <definedName name="IQ_TOTAL_EMPLOYEES_FDIC">"c6355"</definedName>
    <definedName name="IQ_TOTAL_EQUITY">"c1267"</definedName>
    <definedName name="IQ_TOTAL_EQUITY_10YR_ANN_CAGR">"c6145"</definedName>
    <definedName name="IQ_TOTAL_EQUITY_10YR_ANN_GROWTH">"c1268"</definedName>
    <definedName name="IQ_TOTAL_EQUITY_1YR_ANN_GROWTH">"c1269"</definedName>
    <definedName name="IQ_TOTAL_EQUITY_2YR_ANN_CAGR">"c6146"</definedName>
    <definedName name="IQ_TOTAL_EQUITY_2YR_ANN_GROWTH">"c1270"</definedName>
    <definedName name="IQ_TOTAL_EQUITY_3YR_ANN_CAGR">"c6147"</definedName>
    <definedName name="IQ_TOTAL_EQUITY_3YR_ANN_GROWTH">"c1271"</definedName>
    <definedName name="IQ_TOTAL_EQUITY_5YR_ANN_CAGR">"c6148"</definedName>
    <definedName name="IQ_TOTAL_EQUITY_5YR_ANN_GROWTH">"c1272"</definedName>
    <definedName name="IQ_TOTAL_EQUITY_7YR_ANN_CAGR">"c6149"</definedName>
    <definedName name="IQ_TOTAL_EQUITY_7YR_ANN_GROWTH">"c1273"</definedName>
    <definedName name="IQ_TOTAL_EQUITY_ALLOWANCE_TOTAL_LOANS">"c1274"</definedName>
    <definedName name="IQ_TOTAL_EQUITY_CAPITAL_T1_FFIEC">"c13130"</definedName>
    <definedName name="IQ_TOTAL_EQUITY_FFIEC">"c12881"</definedName>
    <definedName name="IQ_TOTAL_EQUITY_INCL_MINORITY_INTEREST_FFIEC">"c15278"</definedName>
    <definedName name="IQ_TOTAL_EQUITY_LH_FFIEC">"c13109"</definedName>
    <definedName name="IQ_TOTAL_EQUITY_PC_FFIEC">"c13102"</definedName>
    <definedName name="IQ_TOTAL_EQUITY_SUBTOTAL_AP">"c8989"</definedName>
    <definedName name="IQ_TOTAL_EQUITY_TOTAL_ASSETS_FFIEC">"c13863"</definedName>
    <definedName name="IQ_TOTAL_FOREIGN_DEPOSITS_FFIEC">"c15348"</definedName>
    <definedName name="IQ_TOTAL_FOREIGN_LOANS_QUARTERLY_AVG_FFIEC">"c15482"</definedName>
    <definedName name="IQ_TOTAL_IBF_ASSETS_CONSOL_BANK_FFIEC">"c15299"</definedName>
    <definedName name="IQ_TOTAL_IBF_LIABILITIES_FFIEC">"c15302"</definedName>
    <definedName name="IQ_TOTAL_IBF_LL_REC_FFIEC">"c15297"</definedName>
    <definedName name="IQ_TOTAL_INT_EXPENSE_FFIEC">"c13000"</definedName>
    <definedName name="IQ_TOTAL_INT_INCOME_FFIEC">"c12989"</definedName>
    <definedName name="IQ_TOTAL_INTEREST_EXP">"c1382"</definedName>
    <definedName name="IQ_TOTAL_INTEREST_EXP_FOREIGN_FFIEC">"c15374"</definedName>
    <definedName name="IQ_TOTAL_INTEREST_INC_FOREIGN_FFIEC">"c15373"</definedName>
    <definedName name="IQ_TOTAL_INVENTORY">"c1385"</definedName>
    <definedName name="IQ_TOTAL_INVEST">"c1275"</definedName>
    <definedName name="IQ_TOTAL_IRA_KEOGH_PLAN_ACCOUNTS_FFIEC">"c15303"</definedName>
    <definedName name="IQ_TOTAL_LIAB">"c1276"</definedName>
    <definedName name="IQ_TOTAL_LIAB_BNK">"c1277"</definedName>
    <definedName name="IQ_TOTAL_LIAB_BR">"c1278"</definedName>
    <definedName name="IQ_TOTAL_LIAB_EQUITY">"c1279"</definedName>
    <definedName name="IQ_TOTAL_LIAB_EQUITY_FDIC">"c6354"</definedName>
    <definedName name="IQ_TOTAL_LIAB_EQUITY_SUBTOTAL_AP">"c8988"</definedName>
    <definedName name="IQ_TOTAL_LIAB_FIN">"c1280"</definedName>
    <definedName name="IQ_TOTAL_LIAB_INS">"c1281"</definedName>
    <definedName name="IQ_TOTAL_LIAB_RE">"c6273"</definedName>
    <definedName name="IQ_TOTAL_LIAB_REIT">"c1282"</definedName>
    <definedName name="IQ_TOTAL_LIAB_SHAREHOLD">"c1435"</definedName>
    <definedName name="IQ_TOTAL_LIAB_TOTAL_ASSETS">"c1283"</definedName>
    <definedName name="IQ_TOTAL_LIABILITIES_EQUITY_FFIEC">"c12882"</definedName>
    <definedName name="IQ_TOTAL_LIABILITIES_FAIR_VALUE_TOT_FFIEC">"c15411"</definedName>
    <definedName name="IQ_TOTAL_LIABILITIES_FDIC">"c6348"</definedName>
    <definedName name="IQ_TOTAL_LIABILITIES_FFIEC">"c12873"</definedName>
    <definedName name="IQ_TOTAL_LIABILITIES_LEVEL_1_FFIEC">"c15433"</definedName>
    <definedName name="IQ_TOTAL_LIABILITIES_LEVEL_2_FFIEC">"c15446"</definedName>
    <definedName name="IQ_TOTAL_LIABILITIES_LEVEL_3_FFIEC">"c15459"</definedName>
    <definedName name="IQ_TOTAL_LL_REC_DOM_FFIEC">"c12917"</definedName>
    <definedName name="IQ_TOTAL_LL_REC_FFIEC">"c12898"</definedName>
    <definedName name="IQ_TOTAL_LOANS">"c5653"</definedName>
    <definedName name="IQ_TOTAL_LOANS_DOM_QUARTERLY_AVG_FFIEC">"c15475"</definedName>
    <definedName name="IQ_TOTAL_LOANS_LEASES_AND_OTHER_DUE_30_89_FFIEC">"c15416"</definedName>
    <definedName name="IQ_TOTAL_LOANS_LEASES_AND_OTHER_DUE_90_FFIEC">"c15420"</definedName>
    <definedName name="IQ_TOTAL_LOANS_LEASES_AND_OTHER_NON_ACCRUAL_FFIEC">"c15466"</definedName>
    <definedName name="IQ_TOTAL_LOANS_LEASES_CHARGE_OFFS_FFIEC">"c13186"</definedName>
    <definedName name="IQ_TOTAL_LOANS_LEASES_DUE_30_89_FFIEC">"c13280"</definedName>
    <definedName name="IQ_TOTAL_LOANS_LEASES_DUE_90_FFIEC">"c13306"</definedName>
    <definedName name="IQ_TOTAL_LOANS_LEASES_NON_ACCRUAL_FFIEC">"c13757"</definedName>
    <definedName name="IQ_TOTAL_LOANS_LEASES_RECOV_FFIEC">"c13208"</definedName>
    <definedName name="IQ_TOTAL_LONG_DEBT">"c1617"</definedName>
    <definedName name="IQ_TOTAL_NON_REC">"c1444"</definedName>
    <definedName name="IQ_TOTAL_NON_TRANS_ACCTS_FFIEC">"c15328"</definedName>
    <definedName name="IQ_TOTAL_NONINTEREST_EXPENSE_FOREIGN_FFIEC">"c15386"</definedName>
    <definedName name="IQ_TOTAL_OPER_EXP_BR">"c1284"</definedName>
    <definedName name="IQ_TOTAL_OPER_EXP_FIN">"c1285"</definedName>
    <definedName name="IQ_TOTAL_OPER_EXP_INS">"c1286"</definedName>
    <definedName name="IQ_TOTAL_OPER_EXP_RE">"c6274"</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ABLE_END_OS">"c5819"</definedName>
    <definedName name="IQ_TOTAL_OPTIONS_EXERCISED">"c2695"</definedName>
    <definedName name="IQ_TOTAL_OPTIONS_GRANTED">"c2694"</definedName>
    <definedName name="IQ_TOTAL_ORE_RESOURCES_ALUM">"c9230"</definedName>
    <definedName name="IQ_TOTAL_ORE_RESOURCES_COP">"c9174"</definedName>
    <definedName name="IQ_TOTAL_ORE_RESOURCES_DIAM">"c9654"</definedName>
    <definedName name="IQ_TOTAL_ORE_RESOURCES_GOLD">"c9015"</definedName>
    <definedName name="IQ_TOTAL_ORE_RESOURCES_IRON">"c9389"</definedName>
    <definedName name="IQ_TOTAL_ORE_RESOURCES_LEAD">"c9442"</definedName>
    <definedName name="IQ_TOTAL_ORE_RESOURCES_MANG">"c9495"</definedName>
    <definedName name="IQ_TOTAL_ORE_RESOURCES_MOLYB">"c9707"</definedName>
    <definedName name="IQ_TOTAL_ORE_RESOURCES_NICK">"c9283"</definedName>
    <definedName name="IQ_TOTAL_ORE_RESOURCES_PLAT">"c9121"</definedName>
    <definedName name="IQ_TOTAL_ORE_RESOURCES_SILVER">"c9068"</definedName>
    <definedName name="IQ_TOTAL_ORE_RESOURCES_TITAN">"c9548"</definedName>
    <definedName name="IQ_TOTAL_ORE_RESOURCES_URAN">"c9601"</definedName>
    <definedName name="IQ_TOTAL_ORE_RESOURCES_ZINC">"c9336"</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RINCIPAL">"c2509"</definedName>
    <definedName name="IQ_TOTAL_PRINCIPAL_PCT">"c2510"</definedName>
    <definedName name="IQ_TOTAL_PROP">"c8765"</definedName>
    <definedName name="IQ_TOTAL_PROVED_RESERVES_NGL">"c2924"</definedName>
    <definedName name="IQ_TOTAL_PROVED_RESERVES_OIL">"c2040"</definedName>
    <definedName name="IQ_TOTAL_RECEIV">"c1293"</definedName>
    <definedName name="IQ_TOTAL_RECOV_ATTRIB_RESOURCES_ALUM">"c9246"</definedName>
    <definedName name="IQ_TOTAL_RECOV_ATTRIB_RESOURCES_COAL">"c9820"</definedName>
    <definedName name="IQ_TOTAL_RECOV_ATTRIB_RESOURCES_COP">"c9190"</definedName>
    <definedName name="IQ_TOTAL_RECOV_ATTRIB_RESOURCES_DIAM">"c9670"</definedName>
    <definedName name="IQ_TOTAL_RECOV_ATTRIB_RESOURCES_GOLD">"c9031"</definedName>
    <definedName name="IQ_TOTAL_RECOV_ATTRIB_RESOURCES_IRON">"c9405"</definedName>
    <definedName name="IQ_TOTAL_RECOV_ATTRIB_RESOURCES_LEAD">"c9458"</definedName>
    <definedName name="IQ_TOTAL_RECOV_ATTRIB_RESOURCES_MANG">"c9511"</definedName>
    <definedName name="IQ_TOTAL_RECOV_ATTRIB_RESOURCES_MET_COAL">"c9760"</definedName>
    <definedName name="IQ_TOTAL_RECOV_ATTRIB_RESOURCES_MOLYB">"c9723"</definedName>
    <definedName name="IQ_TOTAL_RECOV_ATTRIB_RESOURCES_NICK">"c9299"</definedName>
    <definedName name="IQ_TOTAL_RECOV_ATTRIB_RESOURCES_PLAT">"c9137"</definedName>
    <definedName name="IQ_TOTAL_RECOV_ATTRIB_RESOURCES_SILVER">"c9084"</definedName>
    <definedName name="IQ_TOTAL_RECOV_ATTRIB_RESOURCES_STEAM">"c9790"</definedName>
    <definedName name="IQ_TOTAL_RECOV_ATTRIB_RESOURCES_TITAN">"c9564"</definedName>
    <definedName name="IQ_TOTAL_RECOV_ATTRIB_RESOURCES_URAN">"c9617"</definedName>
    <definedName name="IQ_TOTAL_RECOV_ATTRIB_RESOURCES_ZINC">"c9352"</definedName>
    <definedName name="IQ_TOTAL_RECOV_RESOURCES_ALUM">"c9236"</definedName>
    <definedName name="IQ_TOTAL_RECOV_RESOURCES_COAL">"c9815"</definedName>
    <definedName name="IQ_TOTAL_RECOV_RESOURCES_COP">"c9180"</definedName>
    <definedName name="IQ_TOTAL_RECOV_RESOURCES_DIAM">"c9660"</definedName>
    <definedName name="IQ_TOTAL_RECOV_RESOURCES_GOLD">"c9021"</definedName>
    <definedName name="IQ_TOTAL_RECOV_RESOURCES_IRON">"c9395"</definedName>
    <definedName name="IQ_TOTAL_RECOV_RESOURCES_LEAD">"c9448"</definedName>
    <definedName name="IQ_TOTAL_RECOV_RESOURCES_MANG">"c9501"</definedName>
    <definedName name="IQ_TOTAL_RECOV_RESOURCES_MET_COAL">"c9755"</definedName>
    <definedName name="IQ_TOTAL_RECOV_RESOURCES_MOLYB">"c9713"</definedName>
    <definedName name="IQ_TOTAL_RECOV_RESOURCES_NICK">"c9289"</definedName>
    <definedName name="IQ_TOTAL_RECOV_RESOURCES_PLAT">"c9127"</definedName>
    <definedName name="IQ_TOTAL_RECOV_RESOURCES_SILVER">"c9074"</definedName>
    <definedName name="IQ_TOTAL_RECOV_RESOURCES_STEAM">"c9785"</definedName>
    <definedName name="IQ_TOTAL_RECOV_RESOURCES_TITAN">"c9554"</definedName>
    <definedName name="IQ_TOTAL_RECOV_RESOURCES_URAN">"c9607"</definedName>
    <definedName name="IQ_TOTAL_RECOV_RESOURCES_ZINC">"c9342"</definedName>
    <definedName name="IQ_TOTAL_RECOVERIES_FDIC">"c6622"</definedName>
    <definedName name="IQ_TOTAL_RESOURCES_CALORIFIC_VALUE_COAL">"c9810"</definedName>
    <definedName name="IQ_TOTAL_RESOURCES_CALORIFIC_VALUE_MET_COAL">"c9750"</definedName>
    <definedName name="IQ_TOTAL_RESOURCES_CALORIFIC_VALUE_STEAM">"c9780"</definedName>
    <definedName name="IQ_TOTAL_RESOURCES_GRADE_ALUM">"c9231"</definedName>
    <definedName name="IQ_TOTAL_RESOURCES_GRADE_COP">"c9175"</definedName>
    <definedName name="IQ_TOTAL_RESOURCES_GRADE_DIAM">"c9655"</definedName>
    <definedName name="IQ_TOTAL_RESOURCES_GRADE_GOLD">"c9016"</definedName>
    <definedName name="IQ_TOTAL_RESOURCES_GRADE_IRON">"c9390"</definedName>
    <definedName name="IQ_TOTAL_RESOURCES_GRADE_LEAD">"c9443"</definedName>
    <definedName name="IQ_TOTAL_RESOURCES_GRADE_MANG">"c9496"</definedName>
    <definedName name="IQ_TOTAL_RESOURCES_GRADE_MOLYB">"c9708"</definedName>
    <definedName name="IQ_TOTAL_RESOURCES_GRADE_NICK">"c9284"</definedName>
    <definedName name="IQ_TOTAL_RESOURCES_GRADE_PLAT">"c9122"</definedName>
    <definedName name="IQ_TOTAL_RESOURCES_GRADE_SILVER">"c9069"</definedName>
    <definedName name="IQ_TOTAL_RESOURCES_GRADE_TITAN">"c9549"</definedName>
    <definedName name="IQ_TOTAL_RESOURCES_GRADE_URAN">"c9602"</definedName>
    <definedName name="IQ_TOTAL_RESOURCES_GRADE_ZINC">"c9337"</definedName>
    <definedName name="IQ_TOTAL_RETURN_SWAPS_DERIVATIVES_BENEFICIARY_FFIEC">"c13120"</definedName>
    <definedName name="IQ_TOTAL_RETURN_SWAPS_DERIVATIVES_GUARANTOR_FFIEC">"c13113"</definedName>
    <definedName name="IQ_TOTAL_REV">"c1294"</definedName>
    <definedName name="IQ_TOTAL_REV_10YR_ANN_CAGR">"c6150"</definedName>
    <definedName name="IQ_TOTAL_REV_10YR_ANN_GROWTH">"c1295"</definedName>
    <definedName name="IQ_TOTAL_REV_1YR_ANN_GROWTH">"c1296"</definedName>
    <definedName name="IQ_TOTAL_REV_2YR_ANN_CAGR">"c6151"</definedName>
    <definedName name="IQ_TOTAL_REV_2YR_ANN_GROWTH">"c1297"</definedName>
    <definedName name="IQ_TOTAL_REV_3YR_ANN_CAGR">"c6152"</definedName>
    <definedName name="IQ_TOTAL_REV_3YR_ANN_GROWTH">"c1298"</definedName>
    <definedName name="IQ_TOTAL_REV_5YR_ANN_CAGR">"c6153"</definedName>
    <definedName name="IQ_TOTAL_REV_5YR_ANN_GROWTH">"c1299"</definedName>
    <definedName name="IQ_TOTAL_REV_7YR_ANN_CAGR">"c6154"</definedName>
    <definedName name="IQ_TOTAL_REV_7YR_ANN_GROWTH">"c1300"</definedName>
    <definedName name="IQ_TOTAL_REV_AS_REPORTED">"c1301"</definedName>
    <definedName name="IQ_TOTAL_REV_BNK">"c1302"</definedName>
    <definedName name="IQ_TOTAL_REV_BNK_FDIC">"c6786"</definedName>
    <definedName name="IQ_TOTAL_REV_BR">"c1303"</definedName>
    <definedName name="IQ_TOTAL_REV_EMPLOYEE">"c1304"</definedName>
    <definedName name="IQ_TOTAL_REV_FIN">"c1305"</definedName>
    <definedName name="IQ_TOTAL_REV_INS">"c1306"</definedName>
    <definedName name="IQ_TOTAL_REV_RE">"c6275"</definedName>
    <definedName name="IQ_TOTAL_REV_REIT">"c1307"</definedName>
    <definedName name="IQ_TOTAL_REV_SHARE">"c1912"</definedName>
    <definedName name="IQ_TOTAL_REV_SUBTOTAL_AP">"c8975"</definedName>
    <definedName name="IQ_TOTAL_REV_UTI">"c1308"</definedName>
    <definedName name="IQ_TOTAL_REVENUE">"c1436"</definedName>
    <definedName name="IQ_TOTAL_REVENUE_FFIEC">"c13020"</definedName>
    <definedName name="IQ_TOTAL_REVENUE_FOREIGN_FFIEC">"c15383"</definedName>
    <definedName name="IQ_TOTAL_RISK_BASED_CAPITAL_FFIEC">"c13153"</definedName>
    <definedName name="IQ_TOTAL_RISK_BASED_CAPITAL_RATIO_FDIC">"c6747"</definedName>
    <definedName name="IQ_TOTAL_RISK_BASED_CAPITAL_RATIO_FFIEC">"c13162"</definedName>
    <definedName name="IQ_TOTAL_RISK_WEIGHTED_ASSETS_FFIEC">"c13858"</definedName>
    <definedName name="IQ_TOTAL_ROOMS">"c8789"</definedName>
    <definedName name="IQ_TOTAL_SECURITIES_FDIC">"c6306"</definedName>
    <definedName name="IQ_TOTAL_SPECIAL">"c1618"</definedName>
    <definedName name="IQ_TOTAL_SQ_FT">"c8781"</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TIME_DEPOSITS_FDIC">"c6497"</definedName>
    <definedName name="IQ_TOTAL_TIME_LESS_100000_1_TO_3_YEARS_FFIEC">"c15335"</definedName>
    <definedName name="IQ_TOTAL_TIME_LESS_100000_3_MONTHS_LESS_FFIEC">"c15333"</definedName>
    <definedName name="IQ_TOTAL_TIME_LESS_100000_3_TO_12_MONTHS_FFIEC">"c15334"</definedName>
    <definedName name="IQ_TOTAL_TIME_LESS_100000_FFIEC">"c15332"</definedName>
    <definedName name="IQ_TOTAL_TIME_LESS_100000_OVER_3_YEARS_FFIEC">"c15336"</definedName>
    <definedName name="IQ_TOTAL_TIME_MORE_100000_1_TO_3_YEARS_FFIEC">"c15340"</definedName>
    <definedName name="IQ_TOTAL_TIME_MORE_100000_3_MONTHS_LESS_FFIEC">"c15338"</definedName>
    <definedName name="IQ_TOTAL_TIME_MORE_100000_3_TO_12_MONTHS_FFIEC">"c15339"</definedName>
    <definedName name="IQ_TOTAL_TIME_MORE_100000_FFIEC">"c15337"</definedName>
    <definedName name="IQ_TOTAL_TIME_MORE_100000_OVER_3_YEARS_FFIEC">"c15341"</definedName>
    <definedName name="IQ_TOTAL_TIME_SAVINGS_DEPOSITS_FDIC">"c6498"</definedName>
    <definedName name="IQ_TOTAL_TRADING_ASSETS_FFIEC">"c12939"</definedName>
    <definedName name="IQ_TOTAL_TRADING_LIAB_DOM_FFIEC">"c12944"</definedName>
    <definedName name="IQ_TOTAL_TRADING_LIAB_FOREIGN_FFIEC">"c15296"</definedName>
    <definedName name="IQ_TOTAL_TRANS_ACCTS_FFIEC">"c15321"</definedName>
    <definedName name="IQ_TOTAL_UNITS">"c8773"</definedName>
    <definedName name="IQ_TOTAL_UNUSED_COMMITMENTS_FDIC">"c6536"</definedName>
    <definedName name="IQ_TOTAL_UNUSUAL">"c1508"</definedName>
    <definedName name="IQ_TOTAL_UNUSUAL_BNK">"c5516"</definedName>
    <definedName name="IQ_TOTAL_UNUSUAL_BR">"c5517"</definedName>
    <definedName name="IQ_TOTAL_UNUSUAL_FIN">"c5518"</definedName>
    <definedName name="IQ_TOTAL_UNUSUAL_INS">"c5519"</definedName>
    <definedName name="IQ_TOTAL_UNUSUAL_RE">"c6286"</definedName>
    <definedName name="IQ_TOTAL_UNUSUAL_REIT">"c5520"</definedName>
    <definedName name="IQ_TOTAL_UNUSUAL_SUPPLE">"c13817"</definedName>
    <definedName name="IQ_TOTAL_UNUSUAL_UTI">"c5521"</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_EQ_INC">"c3611"</definedName>
    <definedName name="IQ_TR_ACQ_EBITDA">"c2381"</definedName>
    <definedName name="IQ_TR_ACQ_EBITDA_EQ_INC">"c3610"</definedName>
    <definedName name="IQ_TR_ACQ_FILING_CURRENCY">"c3033"</definedName>
    <definedName name="IQ_TR_ACQ_FILINGDATE">"c3607"</definedName>
    <definedName name="IQ_TR_ACQ_MCAP_1DAY">"c2345"</definedName>
    <definedName name="IQ_TR_ACQ_MIN_INT">"c2374"</definedName>
    <definedName name="IQ_TR_ACQ_NET_DEBT">"c2373"</definedName>
    <definedName name="IQ_TR_ACQ_NI">"c2378"</definedName>
    <definedName name="IQ_TR_ACQ_PERIODDATE">"c3606"</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FIN_ADVISORS">"c3045"</definedName>
    <definedName name="IQ_TR_BUY_LEG_ADVISORS">"c2387"</definedName>
    <definedName name="IQ_TR_BUY_TERM_FEE">"c13638"</definedName>
    <definedName name="IQ_TR_BUY_TERM_FEE_PCT">"c13639"</definedName>
    <definedName name="IQ_TR_BUYBACK_TO_CLOSE">"c13919"</definedName>
    <definedName name="IQ_TR_BUYBACK_TO_HIGH">"c13917"</definedName>
    <definedName name="IQ_TR_BUYBACK_TO_LOW">"c13918"</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PPROACH">"c12706"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INIT_FILED_DATE">"c3495"</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GISTRATION_FEES">"c2274"</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FIN_ADVISORS">"c3046"</definedName>
    <definedName name="IQ_TR_SELL_LEG_ADVISORS">"c2388"</definedName>
    <definedName name="IQ_TR_SELL_TERM_FEE">"c2298"</definedName>
    <definedName name="IQ_TR_SELL_TERM_FEE_PCT">"c2297"</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SPENDED_DATE">"c2407"</definedName>
    <definedName name="IQ_TR_TARGET_52WKHI_PCT">"c2351"</definedName>
    <definedName name="IQ_TR_TARGET_52WKLOW_PCT">"c2350"</definedName>
    <definedName name="IQ_TR_TARGET_ACC_ADVISORS">"c3047"</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_EQ_INC">"c3609"</definedName>
    <definedName name="IQ_TR_TARGET_EBITDA">"c2334"</definedName>
    <definedName name="IQ_TR_TARGET_EBITDA_EQ_INC">"c3608"</definedName>
    <definedName name="IQ_TR_TARGET_FILING_CURRENCY">"c3034"</definedName>
    <definedName name="IQ_TR_TARGET_FILINGDATE">"c3605"</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ERIODDATE">"c3604"</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CCOUNT_GAINS_FEES_FDIC">"c6573"</definedName>
    <definedName name="IQ_TRADING_ASSETS">"c1310"</definedName>
    <definedName name="IQ_TRADING_ASSETS_FAIR_VALUE_TOT_FFIEC">"c13210"</definedName>
    <definedName name="IQ_TRADING_ASSETS_FDIC">"c6328"</definedName>
    <definedName name="IQ_TRADING_ASSETS_FFIEC">"c12812"</definedName>
    <definedName name="IQ_TRADING_ASSETS_FOREIGN_FFIEC">"c12940"</definedName>
    <definedName name="IQ_TRADING_ASSETS_LEVEL_1_FFIEC">"c13218"</definedName>
    <definedName name="IQ_TRADING_ASSETS_LEVEL_2_FFIEC">"c13226"</definedName>
    <definedName name="IQ_TRADING_ASSETS_LEVEL_3_FFIEC">"c13234"</definedName>
    <definedName name="IQ_TRADING_ASSETS_QUARTERLY_AVG_FFIEC">"c13085"</definedName>
    <definedName name="IQ_TRADING_CURRENCY">"c2212"</definedName>
    <definedName name="IQ_TRADING_ITEM_CIQID">"c8949"</definedName>
    <definedName name="IQ_TRADING_LIABILITIES_FAIR_VALUE_TOT_FFIEC">"c13214"</definedName>
    <definedName name="IQ_TRADING_LIABILITIES_FDIC">"c6344"</definedName>
    <definedName name="IQ_TRADING_LIABILITIES_FFIEC">"c12858"</definedName>
    <definedName name="IQ_TRADING_LIABILITIES_LEVEL_1_FFIEC">"c13222"</definedName>
    <definedName name="IQ_TRADING_LIABILITIES_LEVEL_2_FFIEC">"c13230"</definedName>
    <definedName name="IQ_TRADING_LIABILITIES_LEVEL_3_FFIEC">"c13238"</definedName>
    <definedName name="IQ_TRADING_REV_FOREIGN_FFIEC">"c15377"</definedName>
    <definedName name="IQ_TRADING_REV_OPERATING_INC_FFIEC">"c13385"</definedName>
    <definedName name="IQ_TRADING_REVENUE_FFIEC">"c13004"</definedName>
    <definedName name="IQ_TRANS_ACCTS_TOT_DEPOSITS_FFIEC">"c13904"</definedName>
    <definedName name="IQ_TRANSACTION_ACCOUNTS_FDIC">"c6544"</definedName>
    <definedName name="IQ_TRANSACTION_LIST">"c15126"</definedName>
    <definedName name="IQ_TRANSACTION_LIST_BANKRUPTCY">"c15131"</definedName>
    <definedName name="IQ_TRANSACTION_LIST_BUYBACK">"c15129"</definedName>
    <definedName name="IQ_TRANSACTION_LIST_INCL_SUBS">"c15132"</definedName>
    <definedName name="IQ_TRANSACTION_LIST_INCL_SUBS_BANKRUPTCY">"c15137"</definedName>
    <definedName name="IQ_TRANSACTION_LIST_INCL_SUBS_BUYBACK">"c15135"</definedName>
    <definedName name="IQ_TRANSACTION_LIST_INCL_SUBS_MA">"c15133"</definedName>
    <definedName name="IQ_TRANSACTION_LIST_INCL_SUBS_PO">"c15136"</definedName>
    <definedName name="IQ_TRANSACTION_LIST_INCL_SUBS_PP">"c15134"</definedName>
    <definedName name="IQ_TRANSACTION_LIST_MA">"c15127"</definedName>
    <definedName name="IQ_TRANSACTION_LIST_PO">"c15130"</definedName>
    <definedName name="IQ_TRANSACTION_LIST_PP">"c15128"</definedName>
    <definedName name="IQ_TREASURER_ID">"c15214"</definedName>
    <definedName name="IQ_TREASURER_NAME">"c15213"</definedName>
    <definedName name="IQ_TREASURY">"c1311"</definedName>
    <definedName name="IQ_TREASURY_INVEST_SECURITIES_FFIEC">"c13457"</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"c6276"</definedName>
    <definedName name="IQ_TREASURY_OTHER_EQUITY_REIT">"c1317"</definedName>
    <definedName name="IQ_TREASURY_OTHER_EQUITY_UTI">"c1318"</definedName>
    <definedName name="IQ_TREASURY_STOCK">"c1438"</definedName>
    <definedName name="IQ_TREASURY_STOCK_TRANSACTIONS_FDIC">"c6501"</definedName>
    <definedName name="IQ_TREASURY_STOCK_TRANSACTIONS_FFIEC">"c15352"</definedName>
    <definedName name="IQ_TRUCK_ASSEMBLIES">"c7021"</definedName>
    <definedName name="IQ_TRUCK_ASSEMBLIES_APR">"c7681"</definedName>
    <definedName name="IQ_TRUCK_ASSEMBLIES_APR_FC">"c8561"</definedName>
    <definedName name="IQ_TRUCK_ASSEMBLIES_FC">"c7901"</definedName>
    <definedName name="IQ_TRUCK_ASSEMBLIES_POP">"c7241"</definedName>
    <definedName name="IQ_TRUCK_ASSEMBLIES_POP_FC">"c8121"</definedName>
    <definedName name="IQ_TRUCK_ASSEMBLIES_YOY">"c7461"</definedName>
    <definedName name="IQ_TRUCK_ASSEMBLIES_YOY_FC">"c8341"</definedName>
    <definedName name="IQ_TRUST_INC">"c1319"</definedName>
    <definedName name="IQ_TRUST_PREF">"c1320"</definedName>
    <definedName name="IQ_TRUST_PREFERRED">"c3029"</definedName>
    <definedName name="IQ_TRUST_PREFERRED_PCT">"c3030"</definedName>
    <definedName name="IQ_TRUSTEE">"c8959"</definedName>
    <definedName name="IQ_TWELVE_MONTHS_FIXED_AND_FLOATING_FDIC">"c6420"</definedName>
    <definedName name="IQ_TWELVE_MONTHS_MORTGAGE_PASS_THROUGHS_FDIC">"c6412"</definedName>
    <definedName name="IQ_UFCF_10YR_ANN_CAGR">"c6179"</definedName>
    <definedName name="IQ_UFCF_10YR_ANN_GROWTH">"c1948"</definedName>
    <definedName name="IQ_UFCF_1YR_ANN_GROWTH">"c1943"</definedName>
    <definedName name="IQ_UFCF_2YR_ANN_CAGR">"c6175"</definedName>
    <definedName name="IQ_UFCF_2YR_ANN_GROWTH">"c1944"</definedName>
    <definedName name="IQ_UFCF_3YR_ANN_CAGR">"c6176"</definedName>
    <definedName name="IQ_UFCF_3YR_ANN_GROWTH">"c1945"</definedName>
    <definedName name="IQ_UFCF_5YR_ANN_CAGR">"c6177"</definedName>
    <definedName name="IQ_UFCF_5YR_ANN_GROWTH">"c1946"</definedName>
    <definedName name="IQ_UFCF_7YR_ANN_CAGR">"c6178"</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CONSOL_BEDS">"c8783"</definedName>
    <definedName name="IQ_UNCONSOL_PROP">"c8762"</definedName>
    <definedName name="IQ_UNCONSOL_ROOMS">"c8787"</definedName>
    <definedName name="IQ_UNCONSOL_SQ_FT">"c8778"</definedName>
    <definedName name="IQ_UNCONSOL_UNITS">"c8770"</definedName>
    <definedName name="IQ_UNDERWRITER">"c8958"</definedName>
    <definedName name="IQ_UNDERWRITING_PROFIT">"c9975"</definedName>
    <definedName name="IQ_UNDIVIDED_PROFITS_FDIC">"c6352"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"c6277"</definedName>
    <definedName name="IQ_UNEARN_REV_CURRENT_REIT">"c1327"</definedName>
    <definedName name="IQ_UNEARN_REV_CURRENT_UTI">"c1328"</definedName>
    <definedName name="IQ_UNEARN_REV_LT">"c1329"</definedName>
    <definedName name="IQ_UNEARNED_INCOME_FDIC">"c6324"</definedName>
    <definedName name="IQ_UNEARNED_INCOME_FOREIGN_FDIC">"c6385"</definedName>
    <definedName name="IQ_UNEARNED_INCOME_LL_REC_DOM_FFIEC">"c12916"</definedName>
    <definedName name="IQ_UNEARNED_INCOME_LL_REC_FFIEC">"c12897"</definedName>
    <definedName name="IQ_UNEARNED_PREMIUMS_PC_FFIEC">"c13101"</definedName>
    <definedName name="IQ_UNEMPLOYMENT_RATE">"c7023"</definedName>
    <definedName name="IQ_UNEMPLOYMENT_RATE_FC">"c7903"</definedName>
    <definedName name="IQ_UNEMPLOYMENT_RATE_POP">"c7243"</definedName>
    <definedName name="IQ_UNEMPLOYMENT_RATE_POP_FC">"c8123"</definedName>
    <definedName name="IQ_UNEMPLOYMENT_RATE_YOY">"c7463"</definedName>
    <definedName name="IQ_UNEMPLOYMENT_RATE_YOY_FC">"c8343"</definedName>
    <definedName name="IQ_UNIT_LABOR_COST_INDEX">"c7025"</definedName>
    <definedName name="IQ_UNIT_LABOR_COST_INDEX_APR">"c7685"</definedName>
    <definedName name="IQ_UNIT_LABOR_COST_INDEX_APR_FC">"c8565"</definedName>
    <definedName name="IQ_UNIT_LABOR_COST_INDEX_FC">"c7905"</definedName>
    <definedName name="IQ_UNIT_LABOR_COST_INDEX_PCT_CHANGE">"c7024"</definedName>
    <definedName name="IQ_UNIT_LABOR_COST_INDEX_PCT_CHANGE_FC">"c7904"</definedName>
    <definedName name="IQ_UNIT_LABOR_COST_INDEX_PCT_CHANGE_POP">"c7244"</definedName>
    <definedName name="IQ_UNIT_LABOR_COST_INDEX_PCT_CHANGE_POP_FC">"c8124"</definedName>
    <definedName name="IQ_UNIT_LABOR_COST_INDEX_PCT_CHANGE_YOY">"c7464"</definedName>
    <definedName name="IQ_UNIT_LABOR_COST_INDEX_PCT_CHANGE_YOY_FC">"c8344"</definedName>
    <definedName name="IQ_UNIT_LABOR_COST_INDEX_POP">"c7245"</definedName>
    <definedName name="IQ_UNIT_LABOR_COST_INDEX_POP_FC">"c8125"</definedName>
    <definedName name="IQ_UNIT_LABOR_COST_INDEX_YOY">"c7465"</definedName>
    <definedName name="IQ_UNIT_LABOR_COST_INDEX_YOY_FC">"c8345"</definedName>
    <definedName name="IQ_UNLEVERED_FCF">"c1908"</definedName>
    <definedName name="IQ_UNPAID_CLAIMS">"c1330"</definedName>
    <definedName name="IQ_UNPROFITABLE_INSTITUTIONS_FDIC">"c6722"</definedName>
    <definedName name="IQ_UNREALIZED_GAIN">"c1619"</definedName>
    <definedName name="IQ_UNSECURED_COMMITMENTS_COMMERCIAL_RE_UNUSED_FFIEC">"c13246"</definedName>
    <definedName name="IQ_UNSECURED_DEBT">"c2548"</definedName>
    <definedName name="IQ_UNSECURED_DEBT_PCT">"c2549"</definedName>
    <definedName name="IQ_UNUSED_LOAN_COMMITMENTS_FDIC">"c6368"</definedName>
    <definedName name="IQ_UNUSUAL_EXP">"c1456"</definedName>
    <definedName name="IQ_US_ADDRESS_LEASE_FIN_REC_FFIEC">"c13624"</definedName>
    <definedName name="IQ_US_AGENCY_OBLIG_FFIEC">"c12779"</definedName>
    <definedName name="IQ_US_AGENCY_OBLIG_TRADING_DOM_FFIEC">"c12919"</definedName>
    <definedName name="IQ_US_AGENCY_OBLIG_TRADING_FFIEC">"c12814"</definedName>
    <definedName name="IQ_US_AGENCY_OBLIGATIONS_AVAIL_SALE_FFIEC">"c12793"</definedName>
    <definedName name="IQ_US_BANKS_OTHER_INST_FOREIGN_DEP_FFIEC">"c15343"</definedName>
    <definedName name="IQ_US_BRANCHES_FOREIGN_BANK_LOANS_FDIC">"c6435"</definedName>
    <definedName name="IQ_US_BRANCHES_FOREIGN_BANKS_FDIC">"c6390"</definedName>
    <definedName name="IQ_US_GAAP">"c1331"</definedName>
    <definedName name="IQ_US_GAAP_BASIC_EPS_EXCL">"c2984"</definedName>
    <definedName name="IQ_US_GAAP_BASIC_EPS_INCL">"c2982"</definedName>
    <definedName name="IQ_US_GAAP_BASIC_WEIGHT">"c2980"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_ADJ">"c2927"</definedName>
    <definedName name="IQ_US_GAAP_COST_REV_ADJ">"c2951"</definedName>
    <definedName name="IQ_US_GAAP_DILUT_EPS_EXCL">"c2985"</definedName>
    <definedName name="IQ_US_GAAP_DILUT_EPS_INCL">"c2983"</definedName>
    <definedName name="IQ_US_GAAP_DILUT_NI">"c2979"</definedName>
    <definedName name="IQ_US_GAAP_DILUT_WEIGHT">"c2981"</definedName>
    <definedName name="IQ_US_GAAP_DO_ADJ">"c2959"</definedName>
    <definedName name="IQ_US_GAAP_EXTRA_ACC_ITEMS_ADJ">"c2958"</definedName>
    <definedName name="IQ_US_GAAP_INC_TAX_ADJ">"c2961"</definedName>
    <definedName name="IQ_US_GAAP_INTEREST_EXP_ADJ">"c2957"</definedName>
    <definedName name="IQ_US_GAAP_LIAB_LT_ADJ">"c2928"</definedName>
    <definedName name="IQ_US_GAAP_LIAB_TOTAL_LIAB">"c2933"</definedName>
    <definedName name="IQ_US_GAAP_MINORITY_INTEREST_IS_ADJ">"c2960"</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INCL">"c2978"</definedName>
    <definedName name="IQ_US_GAAP_OTHER_ADJ_ADJ">"c2962"</definedName>
    <definedName name="IQ_US_GAAP_OTHER_NON_OPER_ADJ">"c2955"</definedName>
    <definedName name="IQ_US_GAAP_OTHER_OPER_ADJ">"c2954"</definedName>
    <definedName name="IQ_US_GAAP_RD_ADJ">"c2953"</definedName>
    <definedName name="IQ_US_GAAP_SGA_ADJ">"c2952"</definedName>
    <definedName name="IQ_US_GAAP_TOTAL_ASSETS">"c2931"</definedName>
    <definedName name="IQ_US_GAAP_TOTAL_EQUITY">"c2934"</definedName>
    <definedName name="IQ_US_GAAP_TOTAL_EQUITY_ADJ">"c2929"</definedName>
    <definedName name="IQ_US_GAAP_TOTAL_REV_ADJ">"c2950"</definedName>
    <definedName name="IQ_US_GAAP_TOTAL_UNUSUAL_ADJ">"c2956"</definedName>
    <definedName name="IQ_US_GOV_AGENCIES_FDIC">"c6395"</definedName>
    <definedName name="IQ_US_GOV_DEPOSITS_FDIC">"c6483"</definedName>
    <definedName name="IQ_US_GOV_ENTERPRISES_FDIC">"c6396"</definedName>
    <definedName name="IQ_US_GOV_NONCURRENT_LOANS_TOTAL_NONCURRENT_FDIC">"c6779"</definedName>
    <definedName name="IQ_US_GOV_NONTRANSACTION_ACCOUNTS_FDIC">"c6546"</definedName>
    <definedName name="IQ_US_GOV_OBLIGATIONS_FDIC">"c6299"</definedName>
    <definedName name="IQ_US_GOV_SECURITIES_FDIC">"c6297"</definedName>
    <definedName name="IQ_US_GOV_TOTAL_DEPOSITS_FDIC">"c6472"</definedName>
    <definedName name="IQ_US_GOV_TRANSACTION_ACCOUNTS_FDIC">"c6538"</definedName>
    <definedName name="IQ_US_GOVT_NON_TRANS_ACCTS_FFIEC">"c15323"</definedName>
    <definedName name="IQ_US_GOVT_STATE_POLI_SUBD_IN_US_FOREIGN_DEP_FFIEC">"c15346"</definedName>
    <definedName name="IQ_US_GOVT_TRANS_ACCTS_FFIEC">"c15315"</definedName>
    <definedName name="IQ_US_INST_DUE_30_89_FFIEC">"c13268"</definedName>
    <definedName name="IQ_US_INST_DUE_90_FFIEC">"c13294"</definedName>
    <definedName name="IQ_US_INST_NON_ACCRUAL_FFIEC">"c13320"</definedName>
    <definedName name="IQ_US_SPONSORED_AGENCY_OBLIG_AVAIL_SALE_FFIEC">"c12794"</definedName>
    <definedName name="IQ_US_SPONSORED_AGENCY_OBLIG_FFIEC">"c12780"</definedName>
    <definedName name="IQ_US_TREASURY_SEC_AVAIL_SALE_FFIEC">"c12792"</definedName>
    <definedName name="IQ_US_TREASURY_SEC_TRADING_DOM_FFIEC">"c12918"</definedName>
    <definedName name="IQ_US_TREASURY_SEC_TRADING_FFIEC">"c12813"</definedName>
    <definedName name="IQ_US_TREASURY_SECURITIES_FDIC">"c6298"</definedName>
    <definedName name="IQ_US_TREASURY_SECURITIES_FFIEC">"c12778"</definedName>
    <definedName name="IQ_UST_SEC_GOVT_AGENCY_CORP_QUARTERLY_AVG_FFIEC">"c15469"</definedName>
    <definedName name="IQ_UST_SECURITIES_GOVT_AGENCY_QUARTERLY_AVG_FFIEC">"c15468"</definedName>
    <definedName name="IQ_UTIL_PPE_NET">"c1620"</definedName>
    <definedName name="IQ_UTIL_REV">"c2091"</definedName>
    <definedName name="IQ_UV_PENSION_LIAB">"c1332"</definedName>
    <definedName name="IQ_VALUATION_ALLOWANCES_FDIC">"c6400"</definedName>
    <definedName name="IQ_VALUE_TRADED">"c1519"</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ARIABLE_RATE_PREFERREDS_INT_SENSITIVITY_FFIEC">"c13096"</definedName>
    <definedName name="IQ_VC_REV_OPERATING_INC_FFIEC">"c13388"</definedName>
    <definedName name="IQ_VC_REVENUE_FDIC">"c6667"</definedName>
    <definedName name="IQ_VEHICLE_ASSEMBLIES_LIGHT">"c6905"</definedName>
    <definedName name="IQ_VEHICLE_ASSEMBLIES_LIGHT_APR">"c7565"</definedName>
    <definedName name="IQ_VEHICLE_ASSEMBLIES_LIGHT_APR_FC">"c8445"</definedName>
    <definedName name="IQ_VEHICLE_ASSEMBLIES_LIGHT_FC">"c7785"</definedName>
    <definedName name="IQ_VEHICLE_ASSEMBLIES_LIGHT_NEW">"c6925"</definedName>
    <definedName name="IQ_VEHICLE_ASSEMBLIES_LIGHT_NEW_APR">"c7585"</definedName>
    <definedName name="IQ_VEHICLE_ASSEMBLIES_LIGHT_NEW_APR_FC">"c8465"</definedName>
    <definedName name="IQ_VEHICLE_ASSEMBLIES_LIGHT_NEW_FC">"c7805"</definedName>
    <definedName name="IQ_VEHICLE_ASSEMBLIES_LIGHT_NEW_POP">"c7145"</definedName>
    <definedName name="IQ_VEHICLE_ASSEMBLIES_LIGHT_NEW_POP_FC">"c8025"</definedName>
    <definedName name="IQ_VEHICLE_ASSEMBLIES_LIGHT_NEW_YOY">"c7365"</definedName>
    <definedName name="IQ_VEHICLE_ASSEMBLIES_LIGHT_NEW_YOY_FC">"c8245"</definedName>
    <definedName name="IQ_VEHICLE_ASSEMBLIES_LIGHT_POP">"c7125"</definedName>
    <definedName name="IQ_VEHICLE_ASSEMBLIES_LIGHT_POP_FC">"c8005"</definedName>
    <definedName name="IQ_VEHICLE_ASSEMBLIES_LIGHT_YOY">"c7345"</definedName>
    <definedName name="IQ_VEHICLE_ASSEMBLIES_LIGHT_YOY_FC">"c8225"</definedName>
    <definedName name="IQ_VEHICLE_ASSEMBLIES_TOTAL">"c7020"</definedName>
    <definedName name="IQ_VEHICLE_ASSEMBLIES_TOTAL_APR">"c7680"</definedName>
    <definedName name="IQ_VEHICLE_ASSEMBLIES_TOTAL_APR_FC">"c8560"</definedName>
    <definedName name="IQ_VEHICLE_ASSEMBLIES_TOTAL_FC">"c7900"</definedName>
    <definedName name="IQ_VEHICLE_ASSEMBLIES_TOTAL_POP">"c7240"</definedName>
    <definedName name="IQ_VEHICLE_ASSEMBLIES_TOTAL_POP_FC">"c8120"</definedName>
    <definedName name="IQ_VEHICLE_ASSEMBLIES_TOTAL_YOY">"c7460"</definedName>
    <definedName name="IQ_VEHICLE_ASSEMBLIES_TOTAL_YOY_FC">"c8340"</definedName>
    <definedName name="IQ_VEHICLE_LOANS">"c15249"</definedName>
    <definedName name="IQ_VENTURE_CAPITAL_REVENUE_FFIEC">"c13010"</definedName>
    <definedName name="IQ_VIF_AFTER_COST_CAPITAL_COVERED">"c9966"</definedName>
    <definedName name="IQ_VIF_AFTER_COST_CAPITAL_GROUP">"c9952"</definedName>
    <definedName name="IQ_VIF_BEFORE_COST_CAPITAL_COVERED">"c9964"</definedName>
    <definedName name="IQ_VIF_BEFORE_COST_CAPITAL_GROUP">"c9950"</definedName>
    <definedName name="IQ_VOL_LAST_3MTH">"c1525"</definedName>
    <definedName name="IQ_VOL_LAST_6MTH">"c1526"</definedName>
    <definedName name="IQ_VOL_LAST_MTH">"c1524"</definedName>
    <definedName name="IQ_VOL_LAST_WK">"c1523"</definedName>
    <definedName name="IQ_VOL_LAST_YR">"c1527"</definedName>
    <definedName name="IQ_VOLATILE_LIABILITIES_FDIC">"c6364"</definedName>
    <definedName name="IQ_VOLUME">"c1333"</definedName>
    <definedName name="IQ_VWAP">"c13514"</definedName>
    <definedName name="IQ_WAC_CURRENT">"c8961"</definedName>
    <definedName name="IQ_WAC_ORIGINAL">"c8953"</definedName>
    <definedName name="IQ_WAM_CURRENT">"c8962"</definedName>
    <definedName name="IQ_WAM_ORIGINAL">"c8952"</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EK">50000</definedName>
    <definedName name="IQ_WEIGHTED_AVG_PRICE">"c1334"</definedName>
    <definedName name="IQ_WHOLESALE_INVENTORIES">"c7027"</definedName>
    <definedName name="IQ_WHOLESALE_INVENTORIES_APR">"c7687"</definedName>
    <definedName name="IQ_WHOLESALE_INVENTORIES_APR_FC">"c8567"</definedName>
    <definedName name="IQ_WHOLESALE_INVENTORIES_FC">"c7907"</definedName>
    <definedName name="IQ_WHOLESALE_INVENTORIES_POP">"c7247"</definedName>
    <definedName name="IQ_WHOLESALE_INVENTORIES_POP_FC">"c8127"</definedName>
    <definedName name="IQ_WHOLESALE_INVENTORIES_YOY">"c7467"</definedName>
    <definedName name="IQ_WHOLESALE_INVENTORIES_YOY_FC">"c8347"</definedName>
    <definedName name="IQ_WHOLESALE_IS_RATIO">"c7026"</definedName>
    <definedName name="IQ_WHOLESALE_IS_RATIO_FC">"c7906"</definedName>
    <definedName name="IQ_WHOLESALE_IS_RATIO_POP">"c7246"</definedName>
    <definedName name="IQ_WHOLESALE_IS_RATIO_POP_FC">"c8126"</definedName>
    <definedName name="IQ_WHOLESALE_IS_RATIO_YOY">"c7466"</definedName>
    <definedName name="IQ_WHOLESALE_IS_RATIO_YOY_FC">"c8346"</definedName>
    <definedName name="IQ_WHOLESALE_SALES">"c7028"</definedName>
    <definedName name="IQ_WHOLESALE_SALES_APR">"c7688"</definedName>
    <definedName name="IQ_WHOLESALE_SALES_APR_FC">"c8568"</definedName>
    <definedName name="IQ_WHOLESALE_SALES_FC">"c7908"</definedName>
    <definedName name="IQ_WHOLESALE_SALES_INDEX">"c7029"</definedName>
    <definedName name="IQ_WHOLESALE_SALES_INDEX_APR">"c7689"</definedName>
    <definedName name="IQ_WHOLESALE_SALES_INDEX_APR_FC">"c8569"</definedName>
    <definedName name="IQ_WHOLESALE_SALES_INDEX_FC">"c7909"</definedName>
    <definedName name="IQ_WHOLESALE_SALES_INDEX_POP">"c7249"</definedName>
    <definedName name="IQ_WHOLESALE_SALES_INDEX_POP_FC">"c8129"</definedName>
    <definedName name="IQ_WHOLESALE_SALES_INDEX_YOY">"c7469"</definedName>
    <definedName name="IQ_WHOLESALE_SALES_INDEX_YOY_FC">"c8349"</definedName>
    <definedName name="IQ_WHOLESALE_SALES_POP">"c7248"</definedName>
    <definedName name="IQ_WHOLESALE_SALES_POP_FC">"c8128"</definedName>
    <definedName name="IQ_WHOLESALE_SALES_YOY">"c7468"</definedName>
    <definedName name="IQ_WHOLESALE_SALES_YOY_FC">"c8348"</definedName>
    <definedName name="IQ_WIP_INV">"c1335"</definedName>
    <definedName name="IQ_WORKING_CAP">"c3494"</definedName>
    <definedName name="IQ_WORKMEN_WRITTEN">"c1336"</definedName>
    <definedName name="IQ_WRITTEN_OPTION_CONTRACTS_FDIC">"c6509"</definedName>
    <definedName name="IQ_WRITTEN_OPTION_CONTRACTS_FX_RISK_FDIC">"c6514"</definedName>
    <definedName name="IQ_WRITTEN_OPTION_CONTRACTS_NON_FX_IR_FDIC">"c6519"</definedName>
    <definedName name="IQ_XDIV_DATE">"c2203"</definedName>
    <definedName name="IQ_YEAR_FOUNDED">"c6793"</definedName>
    <definedName name="IQ_YEARHIGH">"c1337"</definedName>
    <definedName name="IQ_YEARHIGH_DATE">"c2250"</definedName>
    <definedName name="IQ_YEARLOW">"c1338"</definedName>
    <definedName name="IQ_YEARLOW_DATE">"c2251"</definedName>
    <definedName name="IQ_YIELD_FED_FUNDS_SOLD_FFIEC">"c13487"</definedName>
    <definedName name="IQ_YIELD_TRADING_ASSETS_FFIEC">"c13488"</definedName>
    <definedName name="IQ_YTD">3000</definedName>
    <definedName name="IQ_YTDMONTH">130000</definedName>
    <definedName name="IQ_YTW">"c2163"</definedName>
    <definedName name="IQ_YTW_DATE">"c2164"</definedName>
    <definedName name="IQ_YTW_DATE_TYPE">"c2165"</definedName>
    <definedName name="IQ_Z_SCORE">"c1339"</definedName>
    <definedName name="IQRGG11">"$GG$12:$GG$17"</definedName>
    <definedName name="IQRGH11">"$GH$12"</definedName>
    <definedName name="IQRGI11">"$GI$12"</definedName>
    <definedName name="itg">{#N/A,#N/A,FALSE,"AP-MEHK1 ";#N/A,#N/A,FALSE,"MEGBJ";#N/A,#N/A,FALSE,"MEGSH";#N/A,#N/A,FALSE,"MEGGZ "}</definedName>
    <definedName name="IUHY">{"资产",#N/A,FALSE,"TB-BS"}</definedName>
    <definedName name="IUR">{#N/A,#N/A,FALSE,"AP-MEHK1 ";#N/A,#N/A,FALSE,"MEGBJ";#N/A,#N/A,FALSE,"MEGSH";#N/A,#N/A,FALSE,"MEGGZ "}</definedName>
    <definedName name="IUY">{#N/A,#N/A,FALSE,"AP-MEHK1 ";#N/A,#N/A,FALSE,"MEGBJ";#N/A,#N/A,FALSE,"MEGSH";#N/A,#N/A,FALSE,"MEGGZ "}</definedName>
    <definedName name="IX">{"现金主表",#N/A,FALSE,"正式Cashflow"}</definedName>
    <definedName name="J">{"现金主表",#N/A,FALSE,"正式Cashflow"}</definedName>
    <definedName name="Janvier">'[22]Flash 2001'!$B$7:$N$62,'[22]Flash 2001'!$B$64:$N$117</definedName>
    <definedName name="jes">{#N/A,#N/A,FALSE,"AP-MEHK1 ";#N/A,#N/A,FALSE,"MEGBJ";#N/A,#N/A,FALSE,"MEGSH";#N/A,#N/A,FALSE,"MEGGZ "}</definedName>
    <definedName name="JFH">{#N/A,#N/A,FALSE,"AP-MEHK1 ";#N/A,#N/A,FALSE,"MEGBJ";#N/A,#N/A,FALSE,"MEGSH";#N/A,#N/A,FALSE,"MEGGZ "}</definedName>
    <definedName name="JHG">{"负债及权益",#N/A,FALSE,"TB-BS"}</definedName>
    <definedName name="JIO">{#N/A,#N/A,FALSE,"AP-MEHK1 ";#N/A,#N/A,FALSE,"MEGBJ";#N/A,#N/A,FALSE,"MEGSH";#N/A,#N/A,FALSE,"MEGGZ "}</definedName>
    <definedName name="jk">{#N/A,#N/A,FALSE,"AP-MEHK1 ";#N/A,#N/A,FALSE,"MEGBJ";#N/A,#N/A,FALSE,"MEGSH";#N/A,#N/A,FALSE,"MEGGZ "}</definedName>
    <definedName name="JKL">{"资产",#N/A,FALSE,"TB-BS"}</definedName>
    <definedName name="JKLUI">{#N/A,#N/A,FALSE,"AP-MEHK1 ";#N/A,#N/A,FALSE,"MEGBJ";#N/A,#N/A,FALSE,"MEGSH";#N/A,#N/A,FALSE,"MEGGZ "}</definedName>
    <definedName name="JNH">{"现金主表",#N/A,FALSE,"正式Cashflow"}</definedName>
    <definedName name="John">{#N/A,#N/A,FALSE,"Aging Summary";#N/A,#N/A,FALSE,"Ratio Analysis";#N/A,#N/A,FALSE,"Test 120 Day Accts";#N/A,#N/A,FALSE,"Tickmarks"}</definedName>
    <definedName name="jtr">{#N/A,#N/A,FALSE,"AP-MEHK1 ";#N/A,#N/A,FALSE,"MEGBJ";#N/A,#N/A,FALSE,"MEGSH";#N/A,#N/A,FALSE,"MEGGZ "}</definedName>
    <definedName name="Juillet">'[22]Flash 2001'!#REF!,'[22]Flash 2001'!#REF!</definedName>
    <definedName name="Juin">'[22]Flash 2001'!#REF!,'[22]Flash 2001'!#REF!</definedName>
    <definedName name="June">{"'Check Request'!$A$1:$BF$37"}</definedName>
    <definedName name="jww">{#N/A,#N/A,FALSE,"AP-MEHK1 ";#N/A,#N/A,FALSE,"MEGBJ";#N/A,#N/A,FALSE,"MEGSH";#N/A,#N/A,FALSE,"MEGGZ "}</definedName>
    <definedName name="JZ">#REF!</definedName>
    <definedName name="K">#REF!</definedName>
    <definedName name="K0">{"负债及权益",#N/A,FALSE,"TB-BS"}</definedName>
    <definedName name="K2__EVCOMOPTS__">10</definedName>
    <definedName name="K2__MAXEXPCOLS__">100</definedName>
    <definedName name="K2__MAXEXPROWS__">1000</definedName>
    <definedName name="K2__WBEVMODE__">0</definedName>
    <definedName name="K2__WBREFOPTIONS__">134217735</definedName>
    <definedName name="K2_WBEVMODE">-1</definedName>
    <definedName name="kdj">{"负债及权益",#N/A,FALSE,"TB-BS"}</definedName>
    <definedName name="KJ">{"资产",#N/A,FALSE,"TB-BS"}</definedName>
    <definedName name="kjfkdjf">{"FIX ASSETS PAGE 1",#N/A,TRUE,"FIXED ASSETS";"FIX ASSETS PAGE 2",#N/A,TRUE,"FIXED ASSETS";"FIX ASSETS PAGE 3",#N/A,TRUE,"FIXED ASSETS";"FIX ASSETS PAGE 4",#N/A,TRUE,"FIXED ASSETS";"FIX ASSETS PAGE 5",#N/A,TRUE,"FIXED ASSETS";"FIX ASSETS PAGE 6",#N/A,TRUE,"FIXED ASSETS";"FIX ASSETS PAGE 7",#N/A,TRUE,"FIXED ASSETS"}</definedName>
    <definedName name="kjhj">{"现金主表",#N/A,FALSE,"正式Cashflow"}</definedName>
    <definedName name="KJI">{#N/A,#N/A,FALSE,"AP-MEHK1 ";#N/A,#N/A,FALSE,"MEGBJ";#N/A,#N/A,FALSE,"MEGSH";#N/A,#N/A,FALSE,"MEGGZ "}</definedName>
    <definedName name="kjjzr">#REF!</definedName>
    <definedName name="kjl">{#N/A,#N/A,FALSE,"AP-MEHK1 ";#N/A,#N/A,FALSE,"MEGBJ";#N/A,#N/A,FALSE,"MEGSH";#N/A,#N/A,FALSE,"MEGGZ "}</definedName>
    <definedName name="kjnd">[37]基本参数!$A$4</definedName>
    <definedName name="KJZ">{"资产",#N/A,FALSE,"TB-BS"}</definedName>
    <definedName name="kkk">{#N/A,#N/A,FALSE,"OffAdvance";#N/A,#N/A,FALSE,"OffExpRprt";#N/A,#N/A,FALSE,"Entertmnt";#N/A,#N/A,FALSE,"Promotion";#N/A,#N/A,FALSE,"Travelling"}</definedName>
    <definedName name="KL">{"现金主表",#N/A,FALSE,"正式Cashflow"}</definedName>
    <definedName name="km">[66]维护!$B$3:$B$45</definedName>
    <definedName name="kmxz">[66]维护!$C$3:$C$7</definedName>
    <definedName name="L">{"负债及权益",#N/A,FALSE,"TB-BS"}</definedName>
    <definedName name="L_ALL_3690.HK">'[67]3690.HK_Live_Sheet'!$A$1:$AI$284</definedName>
    <definedName name="L0">{"现金主表",#N/A,FALSE,"正式Cashflow"}</definedName>
    <definedName name="langage">[96]Instructions!$I$6</definedName>
    <definedName name="langend">'[97]INDEBTEDNESS RFQ4'!#REF!</definedName>
    <definedName name="LangPL">'[98]PL01'!#REF!</definedName>
    <definedName name="langue">[99]Welcome!$C$10</definedName>
    <definedName name="LE">[15]REFERENCE!$C$2:$C$11</definedName>
    <definedName name="LEVELSS">[62]data!$H$3:$H$19</definedName>
    <definedName name="LG">#REF!</definedName>
    <definedName name="LHLK">{#N/A,#N/A,FALSE,"AP-MEHK1 ";#N/A,#N/A,FALSE,"MEGBJ";#N/A,#N/A,FALSE,"MEGSH";#N/A,#N/A,FALSE,"MEGGZ "}</definedName>
    <definedName name="List_ARPopulation">'[76]AR Drop Downs'!$I$5:$I$10</definedName>
    <definedName name="List_Curr">[61]Currency!$B$9:$B$31</definedName>
    <definedName name="List_ExpandedTesting">'[76]AR Drop Downs'!$E$5:$E$8</definedName>
    <definedName name="List_Level_Assr">[76]DropDown!$B$1:$B$4</definedName>
    <definedName name="List_LevelAssurance">'[76]AR Drop Downs'!$A$5:$A$8</definedName>
    <definedName name="List_Number_of_Exceptions_Identified">'[76]AR Drop Downs'!$K$5:$K$27</definedName>
    <definedName name="List_NumberTolerableExceptions">'[76]AR Drop Downs'!$C$5:$C$8</definedName>
    <definedName name="List_Proj_Meth">[76]DropDown!$H$1:$H$2</definedName>
    <definedName name="List_Samp_Sel">[76]DropDown!$D$1:$D$4</definedName>
    <definedName name="List_SampleSelectionMethod">'[76]AR Drop Downs'!$G$5:$G$7</definedName>
    <definedName name="List2">[100]drop_down!$L$46:$L$48</definedName>
    <definedName name="lkj">{#N/A,#N/A,TRUE,"GRAND TOTAL";#N/A,#N/A,TRUE,"SAM'S";#N/A,#N/A,TRUE,"SUPERCENTER";#N/A,#N/A,TRUE,"MEXICO";#N/A,#N/A,TRUE,"FOOD";#N/A,#N/A,TRUE,"TOTAL WITHOUT CIFRA TAB"}</definedName>
    <definedName name="LLO">{"现金主表",#N/A,FALSE,"正式Cashflow"}</definedName>
    <definedName name="LOIO">{#N/A,#N/A,FALSE,"AP-MEHK1 ";#N/A,#N/A,FALSE,"MEGBJ";#N/A,#N/A,FALSE,"MEGSH";#N/A,#N/A,FALSE,"MEGGZ "}</definedName>
    <definedName name="LongPrepayment">[17]Criteria!$C$29:$C$30</definedName>
    <definedName name="LP">{"资产",#N/A,FALSE,"TB-BS"}</definedName>
    <definedName name="LSJD">'[101]Chine (Cumul)'!$A$19:$AI$124</definedName>
    <definedName name="LTDebt">[17]Criteria!$I$21:$I$22</definedName>
    <definedName name="lye">"31/12/"&amp;LEFT(dc,4)-1</definedName>
    <definedName name="lyec">LEFT(dc,4)-1&amp;"年12月31日"</definedName>
    <definedName name="m">#REF!</definedName>
    <definedName name="M0">{"资产",#N/A,FALSE,"TB-BS"}</definedName>
    <definedName name="Mai">'[22]Flash 2001'!#REF!,'[22]Flash 2001'!#REF!</definedName>
    <definedName name="Marketing">[44]Data!$B$71:$AL$74</definedName>
    <definedName name="Mars">'[22]Flash 2001'!#REF!,'[22]Flash 2001'!#REF!</definedName>
    <definedName name="Max">{#N/A,#N/A,FALSE,"Aging Summary";#N/A,#N/A,FALSE,"Ratio Analysis";#N/A,#N/A,FALSE,"Test 120 Day Accts";#N/A,#N/A,FALSE,"Tickmarks"}</definedName>
    <definedName name="million">'[102]Financial highligts'!$C$39</definedName>
    <definedName name="ML">{"负债及权益",#N/A,FALSE,"TB-BS"}</definedName>
    <definedName name="MNB">{"现金主表",#N/A,FALSE,"正式Cashflow"}</definedName>
    <definedName name="month">[103]Variables!$F$1</definedName>
    <definedName name="monthname">[44]Notes!$G$2:$H$13</definedName>
    <definedName name="Months">[81]tables!$C$5:$D$16</definedName>
    <definedName name="n">#REF!</definedName>
    <definedName name="NAME">[51]KEY!$B$1:$B$22</definedName>
    <definedName name="Name10c">'[104]Library Procedures'!$L$113</definedName>
    <definedName name="Name1a">'[105]Library Procedures'!$L$5</definedName>
    <definedName name="Name1b">'[105]Library Procedures'!$L$6</definedName>
    <definedName name="Name1c">'[106]Library Procedures'!$K$10</definedName>
    <definedName name="Name1d">'[106]Library Procedures'!$K$11</definedName>
    <definedName name="Name1e">'[107]Library Procedures'!$K$19</definedName>
    <definedName name="Name1f">'[107]Library Procedures'!$K$20</definedName>
    <definedName name="Name1g">'[107]Library Procedures'!$K$21</definedName>
    <definedName name="Name2a">'[105]Library Procedures'!$L$13</definedName>
    <definedName name="Name2b">'[105]Library Procedures'!$L$14</definedName>
    <definedName name="Name3a">'[107]Library Procedures'!$K$44</definedName>
    <definedName name="Name3b">'[107]Library Procedures'!$K$45</definedName>
    <definedName name="Name3c">'[107]Library Procedures'!$K$49</definedName>
    <definedName name="Name3d">'[107]Library Procedures'!$K$54</definedName>
    <definedName name="Name3e">'[107]Library Procedures'!$K$55</definedName>
    <definedName name="Name3f">'[107]Library Procedures'!$K$56</definedName>
    <definedName name="Name3g">'[107]Library Procedures'!$K$57</definedName>
    <definedName name="Name4a">'[107]Library Procedures'!$K$69</definedName>
    <definedName name="Name4b">'[107]Library Procedures'!$K$73</definedName>
    <definedName name="Name4c">'[107]Library Procedures'!$K$77</definedName>
    <definedName name="Name4d">'[107]Library Procedures'!$K$81</definedName>
    <definedName name="Name4e">'[107]Library Procedures'!$K$85</definedName>
    <definedName name="Name4f">'[107]Library Procedures'!$K$89</definedName>
    <definedName name="Name4g">'[107]Library Procedures'!$K$93</definedName>
    <definedName name="NameAdd">'[105]Library Procedures'!#REF!</definedName>
    <definedName name="NetFA">[17]Criteria!$I$17:$I$18</definedName>
    <definedName name="NJH">{"资产",#N/A,FALSE,"TB-BS"}</definedName>
    <definedName name="NJK">{"资产",#N/A,FALSE,"TB-BS"}</definedName>
    <definedName name="nm">{#N/A,#N/A,FALSE,"??";#N/A,#N/A,FALSE,"????";#N/A,#N/A,FALSE,"????";#N/A,#N/A,FALSE,"???";#N/A,#N/A,FALSE,"????? (2)";#N/A,#N/A,FALSE,"??????";#N/A,#N/A,FALSE,"????";#N/A,#N/A,FALSE,"?????";#N/A,#N/A,FALSE,"????? (2)";#N/A,#N/A,FALSE,"??";#N/A,#N/A,FALSE,"??";#N/A,#N/A,FALSE,"?? (2)";#N/A,#N/A,FALSE,"????";#N/A,#N/A,FALSE,"????";#N/A,#N/A,FALSE,"???";#N/A,#N/A,FALSE,"?????";#N/A,#N/A,FALSE,"?????";#N/A,#N/A,FALSE,"????? (2)";#N/A,#N/A,FALSE,"??";#N/A,#N/A,FALSE,"??";#N/A,#N/A,FALSE,"??";#N/A,#N/A,FALSE,"??"}</definedName>
    <definedName name="nmu">{"资产",#N/A,FALSE,"TB-BS"}</definedName>
    <definedName name="nnn">{#N/A,#N/A,TRUE,"Assumptions";#N/A,#N/A,TRUE,"Sources of Revenue";#N/A,#N/A,TRUE,"P&amp;L";#N/A,#N/A,TRUE,"Bal. Sheet";#N/A,#N/A,TRUE,"Rights Issue &amp; X Adjustment";#N/A,#N/A,TRUE,"Transaction Model"}</definedName>
    <definedName name="NO">[108]List!$IT$1</definedName>
    <definedName name="Non_Goods_Payables">[75]Code!$D$81:$D$87</definedName>
    <definedName name="Non_Goods_Receivables">[75]Code!$D$72:$D$77</definedName>
    <definedName name="NOTE">{#N/A,#N/A,FALSE,"TB";#N/A,#N/A,FALSE,"AR";#N/A,#N/A,FALSE,"BS";#N/A,#N/A,FALSE,"PL";#N/A,#N/A,FALSE,"NOTES";#N/A,#N/A,FALSE,"NOTES (2)";#N/A,#N/A,FALSE,"NOTES (3)";#N/A,#N/A,FALSE,"TAXC.INDEX";#N/A,#N/A,FALSE,"Schedule I";#N/A,#N/A,FALSE,"DPL";#N/A,#N/A,FALSE,"Schedule IV";#N/A,#N/A,FALSE,"Adjustments"}</definedName>
    <definedName name="NotesPayable">[17]Criteria!$J$25:$J$26</definedName>
    <definedName name="NotesReceivables">[17]Criteria!$D$17:$D$18</definedName>
    <definedName name="Novembre">'[22]Flash 2001'!#REF!,'[22]Flash 2001'!#REF!</definedName>
    <definedName name="NSProjectionMethodIndex">'[109]Non-Statistical Sampling Master'!$C$63</definedName>
    <definedName name="NSRequiredLevelOfEvidenceItems">'[109]Non-Statistical Sampling Master'!$C$50:$C$53</definedName>
    <definedName name="NSTargetedTestingItems">'[109]Two Step Revenue Testing Master'!$E$47</definedName>
    <definedName name="nvkjnfvf">{"FIX ASSETS PAGE 1",#N/A,TRUE,"FIXED ASSETS";"FIX ASSETS PAGE 2",#N/A,TRUE,"FIXED ASSETS";"FIX ASSETS PAGE 3",#N/A,TRUE,"FIXED ASSETS";"FIX ASSETS PAGE 4",#N/A,TRUE,"FIXED ASSETS";"FIX ASSETS PAGE 5",#N/A,TRUE,"FIXED ASSETS";"FIX ASSETS PAGE 6",#N/A,TRUE,"FIXED ASSETS";"FIX ASSETS PAGE 7",#N/A,TRUE,"FIXED ASSETS"}</definedName>
    <definedName name="ny">{#N/A,#N/A,FALSE,"AP-MEHK1 ";#N/A,#N/A,FALSE,"MEGBJ";#N/A,#N/A,FALSE,"MEGSH";#N/A,#N/A,FALSE,"MEGGZ "}</definedName>
    <definedName name="O">{"资产",#N/A,FALSE,"TB-BS"}</definedName>
    <definedName name="O0">{"资产",#N/A,FALSE,"TB-BS"}</definedName>
    <definedName name="Octobre">'[22]Flash 2001'!#REF!,'[22]Flash 2001'!#REF!</definedName>
    <definedName name="ok">{#N/A,#N/A,FALSE,"AP-MEHK1 ";#N/A,#N/A,FALSE,"MEGBJ";#N/A,#N/A,FALSE,"MEGSH";#N/A,#N/A,FALSE,"MEGGZ "}</definedName>
    <definedName name="Old_FA">'[14]Y+1 FA SBU%'!$AQ$3:$AQ$63</definedName>
    <definedName name="ooo">{#N/A,#N/A,FALSE,"Sales  total 9712";#N/A,#N/A,FALSE,"Sales  total 9712";#N/A,#N/A,FALSE,"Sales  total 9712";#N/A,#N/A,FALSE,"Sales  total 9712"}</definedName>
    <definedName name="op_per_order">'[55]Food delivery'!$126:$126</definedName>
    <definedName name="OPI">{"负债及权益",#N/A,FALSE,"TB-BS"}</definedName>
    <definedName name="OPL">{#N/A,#N/A,FALSE,"AP-MEHK1 ";#N/A,#N/A,FALSE,"MEGBJ";#N/A,#N/A,FALSE,"MEGSH";#N/A,#N/A,FALSE,"MEGGZ "}</definedName>
    <definedName name="opo">{"资产",#N/A,FALSE,"TB-BS"}</definedName>
    <definedName name="or">{#N/A,#N/A,FALSE,"TB";#N/A,#N/A,FALSE,"AR";#N/A,#N/A,FALSE,"BS";#N/A,#N/A,FALSE,"PL";#N/A,#N/A,FALSE,"NOTES";#N/A,#N/A,FALSE,"NOTES (2)";#N/A,#N/A,FALSE,"NOTES (3)";#N/A,#N/A,FALSE,"TAXC.INDEX";#N/A,#N/A,FALSE,"Schedule I";#N/A,#N/A,FALSE,"DPL";#N/A,#N/A,FALSE,"Schedule IV";#N/A,#N/A,FALSE,"Adjustments"}</definedName>
    <definedName name="OtherFunds">[17]Criteria!$C$17:$C$18</definedName>
    <definedName name="OtherPayables">[17]Criteria!$F$25:$F$26</definedName>
    <definedName name="OtherReceivables">[17]Criteria!$F$17:$F$18</definedName>
    <definedName name="OverhEmployees">[103]Working3!$R$144:$V$155</definedName>
    <definedName name="OverhEmplPYear">[103]Working3!$R$132:$V$143</definedName>
    <definedName name="OWI">{#N/A,#N/A,FALSE,"AP-MEHK1 ";#N/A,#N/A,FALSE,"MEGBJ";#N/A,#N/A,FALSE,"MEGSH";#N/A,#N/A,FALSE,"MEGGZ "}</definedName>
    <definedName name="P200_PreLATRate">#REF!</definedName>
    <definedName name="P67_PreLATRate">#REF!</definedName>
    <definedName name="P68_PreLATRate">#REF!</definedName>
    <definedName name="Package">[17]Criteria!$F$21:$F$22</definedName>
    <definedName name="ParamPeriod2">#REF!</definedName>
    <definedName name="payable_to_third_party">#REF!</definedName>
    <definedName name="PAYS">[100]drop_down!$A$17:$A$38</definedName>
    <definedName name="PayscaleG">'[110].0.xls)Permitted Values'!$J$3:$J$4</definedName>
    <definedName name="pbPrinterFormat">"\\nhkgc040pps1\PHKG00311 on Ne03:"</definedName>
    <definedName name="pd_date">[23]Fin_Dashboard!$D$8</definedName>
    <definedName name="Period">[103]Variables!$B$3</definedName>
    <definedName name="Period2">'[55]In-store, hotel &amp; travel'!$4:$4</definedName>
    <definedName name="Phase">[111]Sommaire!$G$12</definedName>
    <definedName name="PIE">'[109]Two Step Revenue Testing Master'!$C$87</definedName>
    <definedName name="pj">[112]毛利分析图!$J$9</definedName>
    <definedName name="PL">'[113]A3'!#REF!</definedName>
    <definedName name="PL_00">'[114]00S_PL  '!$C$13:$P$64</definedName>
    <definedName name="pl_01">'[115]01S_PL'!$C$1:$P$65536</definedName>
    <definedName name="PLA_00">'[114]00S_PL  '!$C$81:$P$132</definedName>
    <definedName name="PLA_01">'[115]01S_PL'!$C$81:$P$132</definedName>
    <definedName name="PLA_99">'[114]99S_PL '!$C$81:$P$132</definedName>
    <definedName name="plasters">[44]Data!$B$148:$AL$151</definedName>
    <definedName name="plc">'[116]SUMMARY ALL CO''S'!#REF!</definedName>
    <definedName name="PLCBETEILALOOKUP">[117]PLCBETEILA!$F$15:$Q$52</definedName>
    <definedName name="PLCBETEILBLOOKUP">[117]PLCBETEILB!$F$15:$Q$60</definedName>
    <definedName name="PLCBETEILCHFLOOKUP">[117]PLCBETEILCHF!$F$15:$Q$46</definedName>
    <definedName name="PLCBETEILDLOOKUP">[117]PLCBETEILD!$F$14:$Q$36</definedName>
    <definedName name="PLCBETEILELOOKUP">[117]PLCBETEILE!$F$15:$Q$43</definedName>
    <definedName name="PLCBETEILFLOOKUP">[117]PLCBETEILF!$F$13:$Q$38</definedName>
    <definedName name="PLCCOMMALOOKUP">[30]PLCCOMMA!$F$13:$Q$37</definedName>
    <definedName name="PLCGYPROCNORDICLOOKUP">[30]PLCGYPROCNORDIC!$F$12:$Q$18</definedName>
    <definedName name="PLCPLACOLOOKUP">[30]PLCPLACO!$F$13:$Q$50</definedName>
    <definedName name="plcrig">'[93]SUMMARY ALL CO''S'!#REF!</definedName>
    <definedName name="PLCRIGIPSBLOOKUP">[117]PLCRIGIPSB!$F$15:$Q$54</definedName>
    <definedName name="PLCRIGIPSCLOOKUP">[117]PLCRIGIPSC!$F$15:$Q$49</definedName>
    <definedName name="PLCRIGIPSLOOKUP">[117]PLCRIGIPS!$F$15:$Q$65</definedName>
    <definedName name="plcturkey">'[93]SUMMARY ALL CO''S'!#REF!</definedName>
    <definedName name="PLRN">[118]InputPL!$J:$AS</definedName>
    <definedName name="PLt">'[40]A3 &amp; U 09-01'!$A$53:$O$100</definedName>
    <definedName name="PLtest">'[40]A3 &amp; U 09-01'!$O$53:$X$100</definedName>
    <definedName name="PNV">[19]Parametres!$B$10:$B$14</definedName>
    <definedName name="pop">{"资产",#N/A,FALSE,"TB-BS"}</definedName>
    <definedName name="Pop_Sig_T">'[76]Non-Statistical Sampling'!$F$26</definedName>
    <definedName name="pr_toolbox">[92]Toolbox!$A$3:$I$80</definedName>
    <definedName name="Prämie">'[119]Consultants local currency'!#REF!</definedName>
    <definedName name="precision">[120]param!$B$12</definedName>
    <definedName name="Premium_ratio">'[55]Food delivery'!$221:$221</definedName>
    <definedName name="Premium_take_rate">'[55]Food delivery'!$99:$99</definedName>
    <definedName name="Prepayment">[17]Criteria!$H$17:$H$18</definedName>
    <definedName name="_xlnm.Print_Area" localSheetId="0">预算小结!$A$1:$BB$70</definedName>
    <definedName name="Print_Area_MI">#REF!</definedName>
    <definedName name="_xlnm.Print_Titles" localSheetId="0">预算小结!$1:$19,预算小结!$A:$B</definedName>
    <definedName name="PRINTALL">'[89]summary ALL'!#REF!</definedName>
    <definedName name="PRINTAUSF">#REF!</definedName>
    <definedName name="PRINTAUSH">#REF!</definedName>
    <definedName name="PRINTFULMARVIC">'[89]ful italy'!#REF!</definedName>
    <definedName name="PRINTFULVIC2">'[89]ful italy 2'!#REF!</definedName>
    <definedName name="PRINTPLACOUK3">#REF!</definedName>
    <definedName name="PRINTPLACOUK4">#REF!</definedName>
    <definedName name="PRINTRIG10">#REF!</definedName>
    <definedName name="PRINTRIG11">#REF!</definedName>
    <definedName name="PRINTRIG12">#REF!</definedName>
    <definedName name="PRINTRIG3">#REF!</definedName>
    <definedName name="PRINTRIG6">#REF!</definedName>
    <definedName name="PRINTRIG9">#REF!</definedName>
    <definedName name="PRINTSUMMARY">'[89]summary ALL'!#REF!</definedName>
    <definedName name="PRINTUKTIALG">'[89]uk italgips'!#REF!</definedName>
    <definedName name="PUB_UserID">"MAYERX"</definedName>
    <definedName name="Pull2002Range">[121]Pull2002!$B$2:$AK$37</definedName>
    <definedName name="Pull2003Range">[121]Pull2003!$B$2:$AK$37</definedName>
    <definedName name="Pull2004Range">[121]Pull2004!$B$2:$AK$37</definedName>
    <definedName name="Pull2005Range">[121]Pull2005!$B$2:$AK$37</definedName>
    <definedName name="Pull2006Range">[121]Pull2006!$B$2:$AK$37</definedName>
    <definedName name="Purchasing">[75]Code!$D$25:$D$35</definedName>
    <definedName name="pvb">[122]U_price!$C$33:$H$35</definedName>
    <definedName name="qe">{"toptrial",#N/A,TRUE,"toptrial";"adjustment",#N/A,TRUE,"toptrial";"voucher",#N/A,TRUE,"toptrial"}</definedName>
    <definedName name="qeew">{"现金主表",#N/A,FALSE,"正式Cashflow"}</definedName>
    <definedName name="QQ">#REF!</definedName>
    <definedName name="QQQ">{#N/A,#N/A,FALSE,"목차";#N/A,#N/A,FALSE,"요약손익";#N/A,#N/A,FALSE,"월별손익";#N/A,#N/A,FALSE,"요약대차";#N/A,#N/A,FALSE,"대차대조표";#N/A,#N/A,FALSE,"요약CASH";#N/A,#N/A,FALSE,"자금운용표";#N/A,#N/A,FALSE,"판매요약";#N/A,#N/A,FALSE,"탐별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QUALITY">'[123]CODE LIBRARY'!$B$3:$C$1138</definedName>
    <definedName name="qw">#REF!</definedName>
    <definedName name="qwe">#REF!,#REF!</definedName>
    <definedName name="QY">{"现金主表",#N/A,FALSE,"正式Cashflow"}</definedName>
    <definedName name="rate1">'[124]#REF!'!$L$6</definedName>
    <definedName name="rate2">'[124]#REF!'!$M$6</definedName>
    <definedName name="rate23">#REF!</definedName>
    <definedName name="RawData">#REF!</definedName>
    <definedName name="RDS">{#N/A,#N/A,FALSE,"목차";#N/A,#N/A,FALSE,"요약손익";#N/A,#N/A,FALSE,"월별손익";#N/A,#N/A,FALSE,"요약대차";#N/A,#N/A,FALSE,"대차대조표";#N/A,#N/A,FALSE,"요약CASH";#N/A,#N/A,FALSE,"자금운용표";#N/A,#N/A,FALSE,"판매요약";#N/A,#N/A,FALSE,"탐별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RE">{"资产",#N/A,FALSE,"TB-BS"}</definedName>
    <definedName name="Realexchange">'[79]Exchange_Rate &amp; Costs'!$E$3:$Q$12</definedName>
    <definedName name="Realexchange1">'[81]Exchange_Rate &amp; Costs'!$E$3:$Q$12</definedName>
    <definedName name="receivable_from_third_party">#REF!</definedName>
    <definedName name="Reclass97">'[125]A3'!#REF!</definedName>
    <definedName name="ReportCreated">TRUE</definedName>
    <definedName name="RetainEarnings">[17]Criteria!$I$25:$I$26</definedName>
    <definedName name="Revenue">[75]Code!$D$53:$D$56</definedName>
    <definedName name="rew">[126]基本参数!$A$7</definedName>
    <definedName name="Rider_cost">'[55]Food delivery'!$101:$101</definedName>
    <definedName name="RJE">{"toptrial",#N/A,TRUE,"toptrial";"adjustment",#N/A,TRUE,"toptrial";"voucher",#N/A,TRUE,"toptrial"}</definedName>
    <definedName name="RM">[17]Criteria!$A$21:$A$22</definedName>
    <definedName name="RMB">[127]Sheet1!$C$1</definedName>
    <definedName name="RMC100000000000">#REF!</definedName>
    <definedName name="rmcCategory">"Q3MULT"</definedName>
    <definedName name="rmcFrequency">"QTD"</definedName>
    <definedName name="rmcName">"ORIT-P"</definedName>
    <definedName name="RMCOptions">"*100000000000000"</definedName>
    <definedName name="round">1</definedName>
    <definedName name="rssdf">#REF!</definedName>
    <definedName name="rww">#REF!</definedName>
    <definedName name="s">[57]参数!$B$4</definedName>
    <definedName name="s_c_list">[128]Toolbox!$A$7:$H$969</definedName>
    <definedName name="Salanal">[103]Working2!$O$1</definedName>
    <definedName name="SalaryAccrued">[17]Criteria!$D$25:$D$26</definedName>
    <definedName name="Samp_TM_Exp_Diff">'[61]Non-Statistical Sampling'!#REF!</definedName>
    <definedName name="Samuel">'[129]PRC FAR'!$A$10:$A$127</definedName>
    <definedName name="SAPBEXdnldView">"3YCBGE9U9D6YV37EAYK5T0LJS"</definedName>
    <definedName name="SAPBEXhrIndnt">"Wide"</definedName>
    <definedName name="SAPBEXrevision">1</definedName>
    <definedName name="SAPBEXsysID">"PE4"</definedName>
    <definedName name="SAPBEXwbID">"3Q4R7W3VD66V3CXTGQHGIRCBE"</definedName>
    <definedName name="SAPsysID">"708C5W7SBKP804JT78WJ0JNKI"</definedName>
    <definedName name="SAPwbID">"ARS"</definedName>
    <definedName name="sc">{#N/A,#N/A,FALSE,"TAXC.INDEX";#N/A,#N/A,FALSE,"Schedule I";#N/A,#N/A,FALSE,"Schedule  II";#N/A,#N/A,FALSE,"Schedule III";#N/A,#N/A,FALSE,"Schedule IV";#N/A,#N/A,FALSE,"Schedule IV (Cont'd)";#N/A,#N/A,FALSE,"Schedule V";#N/A,#N/A,FALSE,"Schedule VI";#N/A,#N/A,FALSE,"Schedule VII"}</definedName>
    <definedName name="sdfa">{#N/A,#N/A,FALSE,"YTD ,99"}</definedName>
    <definedName name="SDFW">{#N/A,#N/A,FALSE,"AP-MEHK1 ";#N/A,#N/A,FALSE,"MEGBJ";#N/A,#N/A,FALSE,"MEGSH";#N/A,#N/A,FALSE,"MEGGZ "}</definedName>
    <definedName name="sdlfee">'[92]Financ. Overview'!$H$13</definedName>
    <definedName name="sdsd">{#N/A,#N/A,FALSE,"YTD ,99"}</definedName>
    <definedName name="Securities">[75]Code!$D$90:$D$100</definedName>
    <definedName name="sencount">1</definedName>
    <definedName name="Septembre">'[22]Flash 2001'!#REF!,'[22]Flash 2001'!#REF!</definedName>
    <definedName name="sf">{"资产",#N/A,FALSE,"TB-BS"}</definedName>
    <definedName name="sfdsfdsf">{#N/A,#N/A,FALSE,"Aging Summary";#N/A,#N/A,FALSE,"Ratio Analysis";#N/A,#N/A,FALSE,"Test 120 Day Accts";#N/A,#N/A,FALSE,"Tickmarks"}</definedName>
    <definedName name="SFG">[17]Criteria!$C$21:$C$22</definedName>
    <definedName name="sfs">#REF!</definedName>
    <definedName name="SFW">{#N/A,#N/A,FALSE,"AP-MEHK1 ";#N/A,#N/A,FALSE,"MEGBJ";#N/A,#N/A,FALSE,"MEGSH";#N/A,#N/A,FALSE,"MEGGZ "}</definedName>
    <definedName name="sggf">{#N/A,#N/A,FALSE,"AP-MEHK1 ";#N/A,#N/A,FALSE,"MEGBJ";#N/A,#N/A,FALSE,"MEGSH";#N/A,#N/A,FALSE,"MEGGZ "}</definedName>
    <definedName name="Share_Capital">#REF!</definedName>
    <definedName name="sheet">'[130]2001Actual'!$C$1:$T$46</definedName>
    <definedName name="shit">{#N/A,#N/A,FALSE,"CONTENTS";#N/A,#N/A,FALSE,"DR";#N/A,#N/A,FALSE,"PL";#N/A,#N/A,FALSE,"BS";#N/A,#N/A,FALSE,"Cash Flow";#N/A,#N/A,FALSE,"NOTES";#N/A,#N/A,FALSE,"NOTES (FA)";#N/A,#N/A,FALSE,"Notes(3)";#N/A,#N/A,FALSE,"NOTES (4)";#N/A,#N/A,FALSE,"DP&amp;L";#N/A,#N/A,FALSE,"EXPENSES";#N/A,#N/A,FALSE,"EXPENSES-1"}</definedName>
    <definedName name="shrq">[37]基本参数!$A$7</definedName>
    <definedName name="shx.report">{#N/A,#N/A,FALSE,"AP-MEHK1 ";#N/A,#N/A,FALSE,"MEGBJ";#N/A,#N/A,FALSE,"MEGSH";#N/A,#N/A,FALSE,"MEGGZ "}</definedName>
    <definedName name="shy">[37]基本参数!$A$6</definedName>
    <definedName name="solar_ratio">'[131]POWER ASSUMPTIONS'!$H$7</definedName>
    <definedName name="Sonst.Bezug">'[119]Consultants local currency'!#REF!</definedName>
    <definedName name="SS">#REF!</definedName>
    <definedName name="ss7fee">'[92]Financ. Overview'!$H$18</definedName>
    <definedName name="ssssss">{#N/A,#N/A,FALSE,"DIR-REP";#N/A,#N/A,FALSE,"AUD-REPORT";#N/A,#N/A,FALSE,"P7L&amp;BS";#N/A,#N/A,FALSE,"NOTES";#N/A,#N/A,FALSE,"FA";#N/A,#N/A,FALSE,"NOTES (2)";#N/A,#N/A,FALSE,"Schedule  IV";#N/A,#N/A,FALSE,"Schedule V"}</definedName>
    <definedName name="sssz">{#N/A,#N/A,FALSE,"资产负债表";#N/A,#N/A,FALSE,"资产负债表"}</definedName>
    <definedName name="st_investment">[132]master!$C$3:$C$11</definedName>
    <definedName name="Staat">'[133]Instructions (2)'!$B$6</definedName>
    <definedName name="stakeP1">#REF!</definedName>
    <definedName name="stakeP10">#REF!</definedName>
    <definedName name="stakeP11">#REF!</definedName>
    <definedName name="stakeP12">#REF!</definedName>
    <definedName name="stakeP13">#REF!</definedName>
    <definedName name="stakeP14">#REF!</definedName>
    <definedName name="stakeP15">#REF!</definedName>
    <definedName name="stakeP16">#REF!</definedName>
    <definedName name="stakeP17">#REF!</definedName>
    <definedName name="stakeP18">#REF!</definedName>
    <definedName name="stakeP19">#REF!</definedName>
    <definedName name="stakeP2">#REF!</definedName>
    <definedName name="stakeP20">#REF!</definedName>
    <definedName name="stakeP21">#REF!</definedName>
    <definedName name="stakeP22">#REF!</definedName>
    <definedName name="stakeP23">#REF!</definedName>
    <definedName name="stakeP24">#REF!</definedName>
    <definedName name="stakeP25">#REF!</definedName>
    <definedName name="stakeP26">#REF!</definedName>
    <definedName name="stakeP27">#REF!</definedName>
    <definedName name="stakeP28">#REF!</definedName>
    <definedName name="stakeP29">#REF!</definedName>
    <definedName name="stakeP3">#REF!</definedName>
    <definedName name="stakeP30">#REF!</definedName>
    <definedName name="stakeP31">#REF!</definedName>
    <definedName name="stakeP32">#REF!</definedName>
    <definedName name="stakeP33">#REF!</definedName>
    <definedName name="stakeP34">#REF!</definedName>
    <definedName name="stakeP35">#REF!</definedName>
    <definedName name="stakeP36">#REF!</definedName>
    <definedName name="stakeP37">#REF!</definedName>
    <definedName name="stakeP38">#REF!</definedName>
    <definedName name="stakeP39">#REF!</definedName>
    <definedName name="stakeP4">#REF!</definedName>
    <definedName name="stakeP40">#REF!</definedName>
    <definedName name="stakeP41">#REF!</definedName>
    <definedName name="stakeP42">#REF!</definedName>
    <definedName name="stakeP43">#REF!</definedName>
    <definedName name="stakeP44">#REF!</definedName>
    <definedName name="stakeP45">#REF!</definedName>
    <definedName name="stakeP46">#REF!</definedName>
    <definedName name="stakeP47">#REF!</definedName>
    <definedName name="stakeP48">#REF!</definedName>
    <definedName name="stakeP49">#REF!</definedName>
    <definedName name="stakeP5">#REF!</definedName>
    <definedName name="stakeP50">#REF!</definedName>
    <definedName name="stakeP51">#REF!</definedName>
    <definedName name="stakeP52">#REF!</definedName>
    <definedName name="stakeP53">#REF!</definedName>
    <definedName name="stakeP54">#REF!</definedName>
    <definedName name="stakeP55">#REF!</definedName>
    <definedName name="stakeP56">#REF!</definedName>
    <definedName name="stakeP57">#REF!</definedName>
    <definedName name="stakeP58">#REF!</definedName>
    <definedName name="stakeP59">#REF!</definedName>
    <definedName name="stakeP6">#REF!</definedName>
    <definedName name="stakeP60">#REF!</definedName>
    <definedName name="stakeP61">#REF!</definedName>
    <definedName name="stakeP62">#REF!</definedName>
    <definedName name="stakeP63">#REF!</definedName>
    <definedName name="stakeP64">#REF!</definedName>
    <definedName name="stakeP65">#REF!</definedName>
    <definedName name="stakeP66">#REF!</definedName>
    <definedName name="stakeP67">#REF!</definedName>
    <definedName name="stakeP68">#REF!</definedName>
    <definedName name="stakeP7">#REF!</definedName>
    <definedName name="stakeP8">#REF!</definedName>
    <definedName name="stakeP9">#REF!</definedName>
    <definedName name="start">'[124]#REF!'!$N$16</definedName>
    <definedName name="STBorrowings">[17]Criteria!$A$25:$A$26</definedName>
    <definedName name="STInvestment">[17]Criteria!$J$21:$J$22</definedName>
    <definedName name="Strat_1_Def">'[61]Non-Statistical Sampling'!#REF!</definedName>
    <definedName name="Strat_1_It">'[61]Non-Statistical Sampling'!#REF!</definedName>
    <definedName name="Strat_1_T">'[61]Non-Statistical Sampling'!#REF!</definedName>
    <definedName name="Strat_2_Def">'[61]Non-Statistical Sampling'!#REF!</definedName>
    <definedName name="Strat_2_It">'[61]Non-Statistical Sampling'!#REF!</definedName>
    <definedName name="Strat_2_T">'[61]Non-Statistical Sampling'!#REF!</definedName>
    <definedName name="Strat_Def">'[61]Non-Statistical Sampling'!#REF!</definedName>
    <definedName name="Strat_T_It">'[61]Non-Statistical Sampling'!#REF!</definedName>
    <definedName name="Strat_T_T">'[61]Non-Statistical Sampling'!#REF!</definedName>
    <definedName name="Subs_ads">'[55]In-store, hotel &amp; travel'!$122:$122</definedName>
    <definedName name="subsfee">'[92]Financ. Overview'!$H$14</definedName>
    <definedName name="subsidy_per_order">'[55]Food delivery'!$209:$209</definedName>
    <definedName name="SUBTOTALDATA">[134]Data!$E$6:$GH$428</definedName>
    <definedName name="sum">[135]General!$B$5:$IV$171</definedName>
    <definedName name="SumFlash">{#N/A,#N/A,FALSE,"YTD ,99"}</definedName>
    <definedName name="sumflash02">{#N/A,#N/A,FALSE,"YTD ,99"}</definedName>
    <definedName name="sxh.report">{#N/A,#N/A,FALSE,"AP-MEHK1 ";#N/A,#N/A,FALSE,"MEGBJ";#N/A,#N/A,FALSE,"MEGSH";#N/A,#N/A,FALSE,"MEGGZ "}</definedName>
    <definedName name="t">#REF!</definedName>
    <definedName name="TabQtePNV">[136]Interro!$A$116:$H$166</definedName>
    <definedName name="Tagesfaktor">0.602739726</definedName>
    <definedName name="TaxPayables">[17]Criteria!$E$25:$E$26</definedName>
    <definedName name="TB009a82ea_5b95_4079_b9c0_f32a1a9299a7">[137]WASH!$C$102</definedName>
    <definedName name="TB023556c5_0f12_4f0d_85a0_716139889348">'[137]BIO Cayman'!$C$100</definedName>
    <definedName name="TB042e7f46_4caa_47de_a649_ea3e2167e62d">'[137]GB Invest'!$C$60</definedName>
    <definedName name="TB04b5058b_d634_49ed_92cc_f37c83dfec7b">'[137]FY2012 (BIO Group IFRS)'!$H$82</definedName>
    <definedName name="TB0547d078_c806_4ec4_8f52_b822921e0b96">'[137]FY2015 (BIO Group IFRS)'!$N$13</definedName>
    <definedName name="TB06af6305_d4a7_42d5_ab25_e5b9675abc8a">'[137]FY2013 (BIO Group IFRS)'!$K$12</definedName>
    <definedName name="TB076cb1f5_29b1_4ae2_be23_6a9ca9fad460">'[137]FY2014 (BIO Group IFRS)'!$L$52</definedName>
    <definedName name="TB08f36e29_10f0_4545_a58a_c62a46ce4033">'[137]FY2012 (BIO Group IFRS)'!$D$99</definedName>
    <definedName name="TB0cb115c3_4137_44c1_acca_4825c5ffa85f">'[137]FY2013 (BIO Group IFRS)'!$K$21</definedName>
    <definedName name="TB0d4e049a_f58a_44d7_8087_acec70758a97">'[137]FY2012 (BIO Group IFRS)'!$H$57</definedName>
    <definedName name="TB0dc579dc_c598_41e0_88b1_cf7368bbeb72">'[137]FY2015 (BIO Group IFRS)'!$N$97</definedName>
    <definedName name="TB0fce5c8e_82d2_408a_a747_21ea31917ca6">[137]BIOHLD!$C$18</definedName>
    <definedName name="TB11374ecd_d770_40a7_9838_7668e72061ab">'[137]FY2012 (BIO Group IFRS)'!$H$33</definedName>
    <definedName name="TB11696a69_f51d_4eca_9cc3_de2298a5e3cf">'[137]FY2014 (BIO Group IFRS)'!$L$9</definedName>
    <definedName name="TB15f02202_cd5d_466b_b0d0_14e8a88e421c">'[137]FY2012 (BIO Group IFRS)'!$E$18</definedName>
    <definedName name="TB17f235bf_d931_455e_9e82_65bfe51efd42">[137]WABIO!$C$104</definedName>
    <definedName name="TB18b637ea_4fea_4f54_98ec_ba03fc9eb614">'[137]FY2012 (BIO Group IFRS)'!$C$78</definedName>
    <definedName name="TB19b86666_db13_4f60_9e43_f721a4ed09d6">'[137]FY2012 (BIO Group IFRS)'!$E$69</definedName>
    <definedName name="TB1a97e967_c904_4e04_9477_fb03b7e01405">'[137]FY2012 (BIO Group IFRS)'!$C$10</definedName>
    <definedName name="TB1e1cfad0_6142_4475_94e8_a05bf56a5cf3">'[137]FY2012 (BIO Group IFRS)'!$H$9</definedName>
    <definedName name="TB1fdca360_333f_4ca6_a6ff_34628b8070b2">'[137]FY2013 (BIO Group IFRS)'!$K$13</definedName>
    <definedName name="TB20ce2d8e_a0dc_45f6_a199_c91bb55d9687">'[137]FY2015 (BIO Group IFRS)'!$N$111</definedName>
    <definedName name="TB20d0db41_4189_4045_9f49_535f3f2d2302">'[137]FY2014 (BIO Group IFRS)'!$L$13</definedName>
    <definedName name="TB20d9e691_0dbb_4bf6_9ac4_7f1f5ed64858">[137]BIOHLD!$C$60</definedName>
    <definedName name="TB21c61dba_6cc8_4a46_a2c9_ebfdc42cb3f5">'[137]FY2015 (BIO Group IFRS)'!$N$54</definedName>
    <definedName name="TB26bed4f7_2682_4dad_a4f1_33a36320f560">'[137]FY2012 (BIO Group IFRS)'!$E$79</definedName>
    <definedName name="TB2745cc33_d695_4924_8ef4_15f87e7f0972">'[137]FY2015 (BIO Group IFRS)'!$N$36</definedName>
    <definedName name="TB280a274d_b3c2_4a0d_9f65_c0858857b530">'[137]FY2014 (BIO Group IFRS)'!$L$69</definedName>
    <definedName name="TB28e1bf40_f831_4f04_b49c_467c2bbad0a7">[137]BIOHLD!$C$79</definedName>
    <definedName name="TB2913ba59_5f1e_414b_9a92_32bb0f153986">'[137]FY2014 (BIO Group IFRS)'!$L$87</definedName>
    <definedName name="TB294d94c6_88ec_417e_bb43_09d532003527">[137]BIOHLD!$G$100</definedName>
    <definedName name="TB2c3b0532_6b34_42a1_a4b5_3d1241c8fb93">'[137]FY2014 (BIO Group IFRS)'!$L$33</definedName>
    <definedName name="TB2df89116_def6_492e_ab48_24920a3db4c2">'[137]FY2013 (BIO Group IFRS)'!$K$98</definedName>
    <definedName name="TB2e5eac19_8001_4633_bda3_0fd0db13d3ad">'[137]FY2014 (BIO Group IFRS)'!$L$79</definedName>
    <definedName name="TB2faf1844_f4e9_45e0_b874_4f8b92c33f8c">'[137]BIO Cayman'!$C$145</definedName>
    <definedName name="TB3045fcb2_2e22_4be8_b24d_b2a5d70aadd8">'[137]FY2012 (BIO Group IFRS)'!$C$98</definedName>
    <definedName name="TB36b4e136_d7ee_485c_9907_c2c397238ecd">'[137]GB Invest'!$C$30</definedName>
    <definedName name="TB36c8a4cf_4027_4b32_8f86_16e44808dc85">'[137]GB Invest'!$C$10</definedName>
    <definedName name="TB372ef07e_4d49_4cd1_a3c8_4bbe7ab6be57">'[137]FY2013 (BIO Group IFRS)'!$K$107</definedName>
    <definedName name="TB3a05af06_e094_4079_8ce1_66d022de0e3b">[137]BIOSH!$G$130</definedName>
    <definedName name="TB3a683def_05a1_4bd5_97b8_d8058acaa3f3">'[137]FY2012 (BIO Group IFRS)'!$E$13</definedName>
    <definedName name="TB3bf6e986_af86_48c7_9251_1fccd5acb7ee">'[137]FY2012 (BIO Group IFRS)'!$C$53</definedName>
    <definedName name="TB3bf9abff_1527_49b0_a9a6_48fb04c03437">'[137]FY2012 (BIO Group IFRS)'!$H$31</definedName>
    <definedName name="TB3c28a1a1_e512_42f5_b2ec_423e136d8e8f">'[137]FY2012 (BIO Group IFRS)'!$C$18</definedName>
    <definedName name="TB3c4aa6cb_f599_45b1_b649_fdbbcd7a20f9">'[137]FY2012 (BIO Group IFRS)'!$D$78</definedName>
    <definedName name="TB3cc0091e_dae5_412d_93ac_560a3fcf161f">'[137]FY2013 (BIO Group IFRS)'!$K$18</definedName>
    <definedName name="TB3e3f409b_02bf_4c75_acb4_cffc2cbedfa3">[137]WASH!$C$99</definedName>
    <definedName name="TB3e69021d_ebca_4f21_a348_66ab95dc0438">'[137]FY2013 (BIO Group IFRS)'!$K$79</definedName>
    <definedName name="TB3ee4cef3_670a_4b7e_81f8_1b597d13803b">'[137]FY2015 (BIO Group IFRS)'!$N$9</definedName>
    <definedName name="TB427b89fd_2629_4e22_9287_b1834706e9f7">'[137]FY2012 (BIO Group IFRS)'!$E$33</definedName>
    <definedName name="TB44adfa6d_0f40_4c29_a9de_a3c710a8814b">'[137]FY2013 (BIO Group IFRS)'!$K$14</definedName>
    <definedName name="TB45171ce9_6bf4_4651_bb5c_9842f7af3fa2">'[137]FY2012 (BIO Group IFRS)'!$E$51</definedName>
    <definedName name="TB4528b77a_a88a_46d1_bf15_1c3c5f87e0a6">'[137]FY2014 (BIO Group IFRS)'!$L$53</definedName>
    <definedName name="TB45479eab_7ec2_42d5_b39a_ee65e84c96e0">'[137]FY2012 (BIO Group IFRS)'!$H$36</definedName>
    <definedName name="TB463e9a25_b2ec_4d41_89f9_f1fabe623a18">'[137]GB Invest'!$G$88</definedName>
    <definedName name="TB4758550e_c454_4727_998f_a9b011e53a74">'[137]FY2014 (BIO Group IFRS)'!$L$129</definedName>
    <definedName name="TB47d27f35_780f_4726_a968_264e50737d5b">'[137]FY2015 (BIO Group IFRS)'!$N$79</definedName>
    <definedName name="TB4843ede0_a051_47bc_83b6_570a3d93b2d9">'[137]FY2012 (BIO Group IFRS)'!$C$33</definedName>
    <definedName name="TB48d99111_a5f2_4dc3_ab81_90446cb9ea43">'[137]FY2012 (BIO Group IFRS)'!$H$13</definedName>
    <definedName name="TB496d00bb_6500_4fd1_8ce4_6cda14fb5dba">[137]BIOSH!$G$83</definedName>
    <definedName name="TB49943361_8060_446a_aaa8_fd5b1f888087">[137]BIOHLD!$G$30</definedName>
    <definedName name="TB499bf86c_86bd_4a09_bac8_1c3207cbbf3a">'[137]FY2012 (BIO Group IFRS)'!$H$59</definedName>
    <definedName name="TB4a4d0839_4b8f_40a1_8b83_a0819c0f6cf8">'[137]FY2012 (BIO Group IFRS)'!$D$9</definedName>
    <definedName name="TB4a54fd96_f4ad_4a0c_b00e_2b7242720def">'[137]FY2015 (BIO Group IFRS)'!$N$51</definedName>
    <definedName name="TB4cd2b5bd_c269_4901_871e_72bc995371fb">'[137]FY2015 (BIO Group IFRS)'!$N$21</definedName>
    <definedName name="TB4ff0c915_19c0_4660_802d_4c6820948e5c">'[137]FY2015 (BIO Group IFRS)'!$N$101</definedName>
    <definedName name="TB50590b34_3be1_424c_8174_a8ea1ed10804">'[137]GB Invest'!$G$58</definedName>
    <definedName name="TB50e72efe_3872_4856_a49e_bd50358ebe95">'[137]FY2013 (BIO Group IFRS)'!$K$54</definedName>
    <definedName name="TB51993f17_4a5d_40c9_a3f5_2e5932a34812">'[137]FY2012 (BIO Group IFRS)'!$C$111</definedName>
    <definedName name="TB5257823b_cbb6_4738_a2be_d61f29743685">'[137]FY2015 (BIO Group IFRS)'!$N$53</definedName>
    <definedName name="TB533217a5_8a01_48b0_bf99_f62157823dd3">'[137]FY2015 (BIO Group IFRS)'!$N$58</definedName>
    <definedName name="TB570f81cd_be85_4bb4_b72f_17eaed3831da">'[137]FY2013 (BIO Group IFRS)'!$K$82</definedName>
    <definedName name="TB580c6d4e_5d9a_4441_931f_e176465772bf">'[137]FY2012 (BIO Group IFRS)'!$H$129</definedName>
    <definedName name="TB598ea891_95fd_4720_b019_70fbdfc93c84">'[137]FY2012 (BIO Group IFRS)'!$C$144</definedName>
    <definedName name="TB5a30eb45_cd17_4e48_a353_c1bfb41acb31">'[137]FY2012 (BIO Group IFRS)'!$H$53</definedName>
    <definedName name="TB5a8e3a85_6a76_4bad_8167_b5b85539e359">'[137]FY2015 (BIO Group IFRS)'!$N$38</definedName>
    <definedName name="TB5b753369_07d5_472d_89b0_71c0dfd7cab3">'[137]FY2012 (BIO Group IFRS)'!$C$52</definedName>
    <definedName name="TB5bf940d2_789c_4658_8eab_db6b081c0d04">'[137]FY2012 (BIO Group IFRS)'!$C$69</definedName>
    <definedName name="TB5c8072bf_cac2_4959_8668_a91f584bd3f8">'[137]FY2014 (BIO Group IFRS)'!$L$10</definedName>
    <definedName name="TB60feb513_de17_4301_8a31_0c1ae4aaf6a5">'[137]FY2015 (BIO Group IFRS)'!$N$87</definedName>
    <definedName name="TB63c85067_43bc_4df1_92bd_5e67042d8b16">'[137]FY2013 (BIO Group IFRS)'!$K$87</definedName>
    <definedName name="TB66f7ec4a_9c86_4021_8fb0_8b0f583d44dd">'[137]GB Invest'!$G$100</definedName>
    <definedName name="TB67b724f2_09b0_4ec2_9017_f088f89d89a8">'[137]FY2013 (BIO Group IFRS)'!$K$144</definedName>
    <definedName name="TB69c9fc98_1e27_4df5_b01d_6e3594b2c6e2">'[137]FY2012 (BIO Group IFRS)'!$E$57</definedName>
    <definedName name="TB6a9f53c6_5a2c_43fe_9dcc_e8f113956cc8">'[137]FY2013 (BIO Group IFRS)'!$K$17</definedName>
    <definedName name="TB6bfdcc4e_6ddc_4a26_bcf0_f05154be67df">'[137]FY2015 (BIO Group IFRS)'!$N$100</definedName>
    <definedName name="TB6c2df393_7dd6_4786_9aac_3c8d204baafe">'[137]FY2013 (BIO Group IFRS)'!$K$129</definedName>
    <definedName name="TB6e83c830_960d_4e38_bc1e_fde437aee4c9">'[137]FY2012 (BIO Group IFRS)'!$H$95</definedName>
    <definedName name="TB6f37355b_3fba_4dc0_bf45_308b907bce26">'[137]FY2012 (BIO Group IFRS)'!$H$107</definedName>
    <definedName name="TB70038979_a4c5_4487_bfac_b25468b04758">'[137]FY2012 (BIO Group IFRS)'!$C$82</definedName>
    <definedName name="TB705066b3_2f39_4d28_af37_1af2aea8f322">'[137]FY2015 (BIO Group IFRS)'!$N$98</definedName>
    <definedName name="TB7072b25b_f095_45b0_b6e8_4744c3d7a288">'[137]BIO Cayman'!$G$145</definedName>
    <definedName name="TB74875380_3a03_4824_a261_9a4533b25140">[137]BIOHLD!$C$30</definedName>
    <definedName name="TB757e5a19_d07f_40dc_bdf5_b5768ff7d32b">[137]BIOHLD!$G$60</definedName>
    <definedName name="TB77426512_20bf_4ce8_9812_2f6503f2a517">'[137]FY2012 (BIO Group IFRS)'!$E$144</definedName>
    <definedName name="TB777e7042_54e0_417b_9104_adb6708c0912">'[137]FY2014 (BIO Group IFRS)'!$L$14</definedName>
    <definedName name="TB77ef4584_0b00_4844_9b77_9d7aef465527">'[137]FY2012 (BIO Group IFRS)'!$C$57</definedName>
    <definedName name="TB7984a202_58ea_4f9e_8b3e_eebdef55ea6a">'[137]FY2012 (BIO Group IFRS)'!$H$52</definedName>
    <definedName name="TB79c130cf_d102_466d_b0ae_a09e68e680a6">[137]WASH!$G$59</definedName>
    <definedName name="TB7bedd533_dc87_4a97_bd98_0a2abb88baf3">'[137]FY2012 (BIO Group IFRS)'!$C$38</definedName>
    <definedName name="TB7d609726_5770_4a14_bc64_66eee1380d0b">'[137]FY2012 (BIO Group IFRS)'!$C$99</definedName>
    <definedName name="TB7ec2ddb1_18d8_4694_afd4_b902266523fd">[137]BIOHLD!$C$58</definedName>
    <definedName name="TB7ed42ce8_5794_47b9_bf9f_4cb6d40afcf4">'[137]BIO Cayman'!$G$100</definedName>
    <definedName name="TB832f3ada_36a7_4d25_8eae_e323c242e8be">'[137]GB Invest'!$G$60</definedName>
    <definedName name="TB83912c16_831a_4799_b2d2_cf4c617701ce">'[137]FY2014 (BIO Group IFRS)'!$L$38</definedName>
    <definedName name="TB86a83189_8f03_48e6_a67d_9c1a1af3e071">'[137]FY2012 (BIO Group IFRS)'!$E$36</definedName>
    <definedName name="TB87a0ef7d_8b30_4838_affb_3642dd920ef2">'[137]FY2013 (BIO Group IFRS)'!$K$100</definedName>
    <definedName name="TB88b00721_7625_455b_acb5_e4a07429583f">'[137]FY2015 (BIO Group IFRS)'!$N$33</definedName>
    <definedName name="TB896df83f_19db_4bac_8b62_8bcdfe6310f2">'[137]FY2014 (BIO Group IFRS)'!$L$21</definedName>
    <definedName name="TB89ea5468_18c8_42eb_974c_1103b46ce7f3">'[137]FY2013 (BIO Group IFRS)'!$K$58</definedName>
    <definedName name="TB8a5944bf_b771_441e_a205_e9c6e328a589">'[137]FY2015 (BIO Group IFRS)'!$N$69</definedName>
    <definedName name="TB8a924b0c_ac20_4abf_b77a_df01fdbbf532">'[137]FY2015 (BIO Group IFRS)'!$N$95</definedName>
    <definedName name="TB8aebd3bd_47ca_463e_a83c_3460cb77244c">'[137]FY2012 (BIO Group IFRS)'!$C$14</definedName>
    <definedName name="TB8b805e40_5a48_4f35_a52a_28047396eb9d">'[137]FY2014 (BIO Group IFRS)'!$L$17</definedName>
    <definedName name="TB8d958fc5_8111_4d2e_b1bc_cf2421331917">[137]BIOHLD!$G$58</definedName>
    <definedName name="TB90f3a22c_f6d1_42e8_bc96_e12b0cd1edd4">'[137]BIO Cayman'!$C$88</definedName>
    <definedName name="TB912ee393_cf47_4fde_a669_ff5392545360">'[137]FY2012 (BIO Group IFRS)'!$H$21</definedName>
    <definedName name="TB92c0e066_b122_4139_9404_1b3caaa690b0">'[137]FY2013 (BIO Group IFRS)'!$K$38</definedName>
    <definedName name="TB962243a0_e50a_4af1_aaeb_e71ef59ea145">'[137]FY2012 (BIO Group IFRS)'!$C$59</definedName>
    <definedName name="TB9867b81e_f86e_4eb1_b7a1_9f13db4d2c6f">'[137]FY2015 (BIO Group IFRS)'!$N$144</definedName>
    <definedName name="TB9912011d_e2ab_4535_bef2_eb94a18b47e6">'[137]FY2012 (BIO Group IFRS)'!$C$17</definedName>
    <definedName name="TB9a246939_5e76_46dc_8c4b_fdc317195db7">'[137]FY2013 (BIO Group IFRS)'!$K$95</definedName>
    <definedName name="TB9b483b7f_337c_44b5_98ec_8ae5685d8af2">'[137]FY2015 (BIO Group IFRS)'!$N$14</definedName>
    <definedName name="TB9bff9839_01da_4dff_8ea9_1372857e9b60">'[137]GB Invest'!$C$88</definedName>
    <definedName name="TBa0040484_4014_46c8_a5ff_e0e9c54240c3">'[137]FY2013 (BIO Group IFRS)'!$K$51</definedName>
    <definedName name="TBa09c4b0d_c66f_4fbd_9969_3e835527bda1">'[137]FY2013 (BIO Group IFRS)'!$K$57</definedName>
    <definedName name="TBa1314e8d_4457_42ee_8886_853479a0c2d2">'[137]FY2012 (BIO Group IFRS)'!$H$111</definedName>
    <definedName name="TBa13285e6_ef38_462b_a4fa_968d55f4d849">'[137]FY2015 (BIO Group IFRS)'!$N$82</definedName>
    <definedName name="TBa15ac75f_e91f_42d4_a6fc_1a691965acb5">'[137]FY2012 (BIO Group IFRS)'!$H$51</definedName>
    <definedName name="TBa3b1e941_3ad7_4fe0_8811_96d7f709af67">'[137]FY2015 (BIO Group IFRS)'!$N$78</definedName>
    <definedName name="TBa3d9c602_0f5a_4ed8_8529_4a84f925f809">[137]BIOHLD!$C$100</definedName>
    <definedName name="TBa512f3c1_d834_495c_a61a_e107d208676c">'[137]FY2012 (BIO Group IFRS)'!$H$14</definedName>
    <definedName name="TBa526d740_3586_4a63_8350_512a2f24fdad">'[137]FY2012 (BIO Group IFRS)'!$H$69</definedName>
    <definedName name="TBa695e455_712d_4292_8934_8c0152a3e86e">'[137]FY2014 (BIO Group IFRS)'!$L$111</definedName>
    <definedName name="TBa71ec6f4_f69d_4254_8ced_3c1e8a164d1b">'[137]FY2012 (BIO Group IFRS)'!$H$38</definedName>
    <definedName name="TBa7260115_bdbb_4ae2_aded_9bdcc4d8753e">'[137]GB Invest'!$C$100</definedName>
    <definedName name="TBaa7cb595_7235_459a_865b_e883e73e452a">'[137]GB Invest'!$G$30</definedName>
    <definedName name="TBab131103_68a6_4521_9756_005a78c528f4">[137]WABIO!$G$104</definedName>
    <definedName name="TBab55877c_bff5_4e0f_b8bb_193e31a3037c">'[137]FY2014 (BIO Group IFRS)'!$L$59</definedName>
    <definedName name="TBac21cf11_669c_4433_9648_a428e90e0c43">'[137]FY2012 (BIO Group IFRS)'!$H$18</definedName>
    <definedName name="TBaccd49df_e096_47a1_8a3e_5ba941355b75">[137]WASH!$G$99</definedName>
    <definedName name="TBae0184e9_fe12_4027_8575_699f2e6c5df0">'[137]FY2012 (BIO Group IFRS)'!$C$51</definedName>
    <definedName name="TBae31c1d0_cca0_4d80_8521_b4d73ed39770">'[137]FY2012 (BIO Group IFRS)'!$C$100</definedName>
    <definedName name="TBae5a1437_ad99_4229_951f_d7f7465dc8e9">'[137]FY2013 (BIO Group IFRS)'!$K$52</definedName>
    <definedName name="TBafa89172_7114_462e_aab1_739b858685ac">'[137]FY2012 (BIO Group IFRS)'!$H$98</definedName>
    <definedName name="TBafb46ebd_5e94_48c1_a2bb_9c2d6adf60f1">'[137]FY2013 (BIO Group IFRS)'!$K$69</definedName>
    <definedName name="TBb0ed7ea6_76c6_4b3e_a9be_64c7bfd5ca75">'[137]GB Invest'!$C$60</definedName>
    <definedName name="TBb46e8be8_d97e_4442_b12a_e3b276466ab7">'[137]FY2015 (BIO Group IFRS)'!$N$96</definedName>
    <definedName name="TBb52060c7_b856_4954_9303_a894bcd5700c">'[137]FY2012 (BIO Group IFRS)'!$E$31</definedName>
    <definedName name="TBb7c32bb7_6b0a_4647_a29d_b94284bf69b1">'[137]FY2012 (BIO Group IFRS)'!$H$144</definedName>
    <definedName name="TBb923a90c_d2fc_473c_b996_f2754d67fde2">[137]WASH!$C$59</definedName>
    <definedName name="TBbc49a777_a131_4b37_9461_9d83e68b0090">'[137]FY2014 (BIO Group IFRS)'!$L$57</definedName>
    <definedName name="TBbd0dda3c_e2e7_435a_97e1_632f7ce57f8d">'[137]FY2014 (BIO Group IFRS)'!$L$51</definedName>
    <definedName name="TBbdf19f6b_2270_4843_bf03_6e51d67423b2">'[137]FY2013 (BIO Group IFRS)'!$K$53</definedName>
    <definedName name="TBbe8c8d4d_71c2_4dee_9d14_018c8ae746a2">'[137]FY2012 (BIO Group IFRS)'!$C$96</definedName>
    <definedName name="TBc055afa2_e23c_40c3_b531_e9fd37da1ab8">'[137]FY2015 (BIO Group IFRS)'!#REF!</definedName>
    <definedName name="TBc188d700_d290_42a3_b9e0_75901b91bffc">[137]BIOHLD!$G$18</definedName>
    <definedName name="TBc31c6ecf_68c9_477f_83e1_f272cf47135d">[137]WASH!$G$108</definedName>
    <definedName name="TBc437d070_dfe4_459d_928d_c4eec3f8dd35">'[137]FY2012 (BIO Group IFRS)'!$H$17</definedName>
    <definedName name="TBc5516821_cc7f_4b51_9db5_6a78f28f114f">'[137]FY2012 (BIO Group IFRS)'!$E$52</definedName>
    <definedName name="TBc5734c10_f96c_4832_a8e1_058778c986de">'[137]FY2012 (BIO Group IFRS)'!$E$99</definedName>
    <definedName name="TBc75f5617_9ea1_44f1_8f2c_682b8d90d8fa">'[137]FY2012 (BIO Group IFRS)'!$D$144</definedName>
    <definedName name="TBc7632411_2998_4e2b_9501_83d27c947ded">'[137]FY2012 (BIO Group IFRS)'!$C$36</definedName>
    <definedName name="TBc8dab9ba_aa72_41f8_a261_fed5fbbb2d35">'[137]FY2012 (BIO Group IFRS)'!$H$54</definedName>
    <definedName name="TBc93ee42f_ad2c_489d_8b2a_c100cefdae74">'[137]GB Invest'!$G$10</definedName>
    <definedName name="TBc9af4b63_1c98_4689_8e05_b24c03c9485c">'[137]FY2013 (BIO Group IFRS)'!$K$39</definedName>
    <definedName name="TBca4b672d_5aab_458b_8c76_bd289d3c4183">'[137]FY2015 (BIO Group IFRS)'!$N$103</definedName>
    <definedName name="TBcb3e9388_a243_4b15_8fdf_99ab503a95a3">'[137]FY2013 (BIO Group IFRS)'!$K$48</definedName>
    <definedName name="TBcd2e0619_ce8d_4fe9_835e_b73a0417adde">'[137]FY2012 (BIO Group IFRS)'!$C$54</definedName>
    <definedName name="TBcd903dbf_271b_4a72_ae27_c48475893438">[137]WASH!$G$102</definedName>
    <definedName name="TBd086eacb_6e5d_4ad0_8c72_5f68dc0d5041">'[137]FY2014 (BIO Group IFRS)'!$L$18</definedName>
    <definedName name="TBd0b72bef_3edc_4e68_92ec_aba652d1bae3">'[137]BIO Cayman'!$G$58</definedName>
    <definedName name="TBd0e8d07c_0cc5_4218_a6e1_6d651b4dc63c">'[137]FY2014 (BIO Group IFRS)'!$L$54</definedName>
    <definedName name="TBd14b52e7_22de_4139_a32c_9eb0b95042da">'[137]FY2012 (BIO Group IFRS)'!$D$100</definedName>
    <definedName name="TBd15d7b1a_f2b5_4307_830f_e63a39bfb6f2">'[137]GB Invest'!$C$58</definedName>
    <definedName name="TBd421cbfe_3bdd_41b3_b50f_35fff2683427">'[137]BIO Cayman'!$C$58</definedName>
    <definedName name="TBd444af23_4186_49ec_9be5_d1a6ee915539">'[137]FY2014 (BIO Group IFRS)'!$L$98</definedName>
    <definedName name="TBd5b820a2_9b8c_4c69_8f4c_f936169f4216">'[137]FY2015 (BIO Group IFRS)'!$N$57</definedName>
    <definedName name="TBd6834f3b_04b1_4cff_bc37_e687b93a9eea">'[137]FY2012 (BIO Group IFRS)'!$C$13</definedName>
    <definedName name="TBd6933334_11d3_4924_8b82_d4cd450d8536">'[137]FY2015 (BIO Group IFRS)'!$N$52</definedName>
    <definedName name="TBdd9f8cc5_51e8_404d_958c_d831e6110b5d">'[137]GB Invest'!$G$60</definedName>
    <definedName name="TBddafab31_13ce_4535_81c6_f6000a28b166">'[137]FY2015 (BIO Group IFRS)'!$N$107</definedName>
    <definedName name="TBde09956b_dfad_4a59_86ed_0d5dd140b2ae">'[137]FY2012 (BIO Group IFRS)'!$C$129</definedName>
    <definedName name="TBdfac5449_a00d_4389_a255_f677387c59a0">'[137]FY2014 (BIO Group IFRS)'!$L$36</definedName>
    <definedName name="TBe0c85b26_02b4_41f9_8c66_f84ff70867fe">'[137]FY2012 (BIO Group IFRS)'!$C$107</definedName>
    <definedName name="TBe1d29ef7_366e_4932_8ae9_39c2fa2a278a">'[137]FY2012 (BIO Group IFRS)'!$C$9</definedName>
    <definedName name="TBe2619bd7_01c0_4742_b457_9ff31767b69e">'[137]FY2014 (BIO Group IFRS)'!$L$48</definedName>
    <definedName name="TBe3683b28_112f_4e35_8f48_6ba2aa2e81d3">'[137]FY2012 (BIO Group IFRS)'!$C$21</definedName>
    <definedName name="TBe3edf4c8_aeea_4ad8_bb1c_d4dd8dc36393">[137]WASH!$C$108</definedName>
    <definedName name="TBe52b9a23_ea15_4944_8b55_78c9b57f0186">'[137]FY2013 (BIO Group IFRS)'!$K$111</definedName>
    <definedName name="TBe5cd8ab7_9352_4bc2_b16b_f8b47df3cf65">'[137]FY2012 (BIO Group IFRS)'!$E$95</definedName>
    <definedName name="TBe65aead4_11bc_465a_8fa8_f9927275f393">'[137]BIO Cayman'!$G$88</definedName>
    <definedName name="TBe745fc15_2c17_4d52_9f51_fc311612c64f">'[137]FY2013 (BIO Group IFRS)'!$K$33</definedName>
    <definedName name="TBea84a494_bc81_42b7_92a9_fce4c306493d">[137]BIOHLD!$G$79</definedName>
    <definedName name="TBec8fcd4e_8226_4237_8679_afcd734505fe">'[137]FY2015 (BIO Group IFRS)'!$N$99</definedName>
    <definedName name="TBeca82987_50f4_484d_a159_7d3b64acf638">'[137]FY2012 (BIO Group IFRS)'!$D$17</definedName>
    <definedName name="TBeebae0fa_ee1d_4b8b_ba9f_63c05e43d668">'[137]FY2014 (BIO Group IFRS)'!$L$31</definedName>
    <definedName name="TBf1fc49fb_d1d5_4598_9939_226ac088709c">'[137]FY2015 (BIO Group IFRS)'!$N$129</definedName>
    <definedName name="TBf53ee663_d0b5_48b6_96e0_eb4c162cf53a">'[137]FY2012 (BIO Group IFRS)'!$C$31</definedName>
    <definedName name="TBf9f5430c_b252_4725_8b0d_a1c9254a2f94">'[137]FY2013 (BIO Group IFRS)'!$K$36</definedName>
    <definedName name="TBfde8b9d4_1193_4729_96dc_7df46c5fbd1f">'[137]FY2015 (BIO Group IFRS)'!$N$18</definedName>
    <definedName name="TBfe3e03fb_e536_44ac_8154_673fdeaef440">'[137]FY2013 (BIO Group IFRS)'!$K$9</definedName>
    <definedName name="TBffcc584d_af9a_4b3f_a7a6_db81c4a396c2">'[137]FY2012 (BIO Group IFRS)'!$C$95</definedName>
    <definedName name="Test_Targ">'[76]Non-Statistical Sampling'!$Y$26</definedName>
    <definedName name="TEST0">#REF!</definedName>
    <definedName name="TESTHKEY">#REF!</definedName>
    <definedName name="TESTKEYS">#REF!</definedName>
    <definedName name="TESTVKEY">#REF!</definedName>
    <definedName name="TEUR">'[56]Consultants local currency'!#REF!</definedName>
    <definedName name="TextRefCopy176">'[138]Deferred Tax'!$G$13</definedName>
    <definedName name="TextRefCopyRangeCount">1</definedName>
    <definedName name="TH">{#N/A,#N/A,FALSE,"AP-MEHK1 ";#N/A,#N/A,FALSE,"MEGBJ";#N/A,#N/A,FALSE,"MEGSH";#N/A,#N/A,FALSE,"MEGGZ "}</definedName>
    <definedName name="Tigr_Exhibit651ebbb7_8578_4af1_ad22_b47d4f772e09">'[55]Food delivery'!$BP$75:$CB$104</definedName>
    <definedName name="Tigr_Exhibitbe712203_75bb_41b9_8d12_e1801d7a6893">'[55]Food delivery'!$AW$92:$BM$119</definedName>
    <definedName name="Tip">IF(NO=1,[108]List!$IU$1,[108]List!$IV$1)</definedName>
    <definedName name="toolbox">[139]Toolbox!$C$5:$T$1578</definedName>
    <definedName name="total_2A">'[140]Total_A(A&amp;B)'!$D$10:$AB$70</definedName>
    <definedName name="TotalEmployees">[103]Working3!$K$144:$O$155</definedName>
    <definedName name="TotalEmplPYear">[103]Working3!$K$132:$O$143</definedName>
    <definedName name="TradePayables">[17]Criteria!$B$25:$B$26</definedName>
    <definedName name="TradeReceivables">[17]Criteria!$E$17:$E$18</definedName>
    <definedName name="traing">#N/A</definedName>
    <definedName name="training">{"'Sheet3 (2)'!$D$43:$E$46"}</definedName>
    <definedName name="TTDesiredLevelOfEvidenceItems">'[109]Global Data'!$B$92:$B$95</definedName>
    <definedName name="tttttttttttt">{#N/A,#N/A,FALSE,"CONTENTS";#N/A,#N/A,FALSE,"DR";#N/A,#N/A,FALSE,"PL";#N/A,#N/A,FALSE,"BS";#N/A,#N/A,FALSE,"Cash Flow";#N/A,#N/A,FALSE,"NOTES";#N/A,#N/A,FALSE,"NOTES (FA)";#N/A,#N/A,FALSE,"Notes(3)";#N/A,#N/A,FALSE,"NOTES (4)";#N/A,#N/A,FALSE,"DP&amp;L";#N/A,#N/A,FALSE,"EXPENSES";#N/A,#N/A,FALSE,"EXPENSES-1"}</definedName>
    <definedName name="Turnover">[103]Working3!$C$144:$G$155</definedName>
    <definedName name="TurnPYear">[103]Working3!$C$132:$G$143</definedName>
    <definedName name="TwoStepMisstatementIdentified">'[109]Two Step Revenue Testing Master'!$C$85</definedName>
    <definedName name="TwoStepTolerableEstMisstmtCalc">'[109]Two Step Revenue Testing Master'!$T$45</definedName>
    <definedName name="TXCR">[48]Changes!$B$16:$G$16</definedName>
    <definedName name="TXESTONI">[48]Changes!$B$17:$G$17</definedName>
    <definedName name="TXFIN">[48]Changes!$B$13:$G$13</definedName>
    <definedName name="TXPOL">[48]Changes!$B$19:$G$19</definedName>
    <definedName name="TXSSGB">[48]Changes!$B$7:$G$7</definedName>
    <definedName name="TXSSGD">[48]Changes!$B$8:$G$8</definedName>
    <definedName name="TXSSGE">[48]Changes!$B$4:$G$4</definedName>
    <definedName name="TXSSGF">[48]Changes!$B$9:$G$9</definedName>
    <definedName name="TXSSGIT">[48]Changes!$B$6:$G$6</definedName>
    <definedName name="TXSSGP">[48]Changes!$B$5:$G$5</definedName>
    <definedName name="TXSSGS">[48]Changes!$B$10:$G$10</definedName>
    <definedName name="TXUK">[48]Changes!$B$34:$G$34</definedName>
    <definedName name="TXVIDE">[48]Changes!$B$50:$G$50</definedName>
    <definedName name="tyu">{#N/A,#N/A,FALSE,"AP-MEHK1 ";#N/A,#N/A,FALSE,"MEGBJ";#N/A,#N/A,FALSE,"MEGSH";#N/A,#N/A,FALSE,"MEGGZ "}</definedName>
    <definedName name="u">{#N/A,#N/A,FALSE,"OffAdvance";#N/A,#N/A,FALSE,"OffExpRprt";#N/A,#N/A,FALSE,"Entertmnt";#N/A,#N/A,FALSE,"Promotion";#N/A,#N/A,FALSE,"Travelling"}</definedName>
    <definedName name="ueyi">{"资产",#N/A,FALSE,"TB-BS"}</definedName>
    <definedName name="UFPrn20001231102643">#REF!</definedName>
    <definedName name="UFPrn20011231142810">#REF!</definedName>
    <definedName name="UFPrn20020705094329">#REF!</definedName>
    <definedName name="UFPrn20020706083617">#REF!</definedName>
    <definedName name="UFPrn20020706091951">#REF!</definedName>
    <definedName name="UFPrn20020913104913">#REF!</definedName>
    <definedName name="UFPrn20020914163526">#REF!</definedName>
    <definedName name="UFPrn20020914163555">#REF!</definedName>
    <definedName name="UFPrn20020920095026">#REF!</definedName>
    <definedName name="UFPrn20020927135942">#REF!</definedName>
    <definedName name="UFPrn20030513144139">#REF!</definedName>
    <definedName name="UFPrn20030513214425">#REF!</definedName>
    <definedName name="UFPrn20030517160435">#REF!</definedName>
    <definedName name="UFPrn20030826134053">'[141]production dept'!$A$1:$B$7</definedName>
    <definedName name="UFPrn20031109141009">#REF!</definedName>
    <definedName name="UFPrn20031109141620">#REF!</definedName>
    <definedName name="UFPrn20031109141639">#REF!</definedName>
    <definedName name="UFPrn20031109141744">#REF!</definedName>
    <definedName name="UFPrn20031109141818">#REF!</definedName>
    <definedName name="UFPrn20040217193952">'[124]#REF!'!$A$1:$H$16</definedName>
    <definedName name="UFPrn20040501090627">#REF!</definedName>
    <definedName name="UFPrn20040502212622">#REF!</definedName>
    <definedName name="UFPrn20040502212716">#REF!</definedName>
    <definedName name="UFPrn20041020141251">#REF!</definedName>
    <definedName name="UFPrn20050118141707">#REF!</definedName>
    <definedName name="UFPrn20050118141801">#REF!</definedName>
    <definedName name="UFPrn20050531084542">'[142]fixed assets'!#REF!</definedName>
    <definedName name="UFPrn20060117133757">#REF!</definedName>
    <definedName name="UFPrn20060206101655">#REF!</definedName>
    <definedName name="UFPrn20060703150533">#REF!</definedName>
    <definedName name="UFPrn20101130124530">#N/A</definedName>
    <definedName name="UFPrn20110127151633">#N/A</definedName>
    <definedName name="UFPrn20110228093410">#N/A</definedName>
    <definedName name="UFPrn20110330154622">#N/A</definedName>
    <definedName name="UFPrn20110330154738">#N/A</definedName>
    <definedName name="UFPrn20110330160633">#N/A</definedName>
    <definedName name="ufyr">{"现金主表",#N/A,FALSE,"正式Cashflow"}</definedName>
    <definedName name="UI">{"资产",#N/A,FALSE,"TB-BS"}</definedName>
    <definedName name="uiopo">{"资产",#N/A,FALSE,"TB-BS"}</definedName>
    <definedName name="uiu">{#N/A,#N/A,FALSE,"AP-MEHK1 ";#N/A,#N/A,FALSE,"MEGBJ";#N/A,#N/A,FALSE,"MEGSH";#N/A,#N/A,FALSE,"MEGGZ "}</definedName>
    <definedName name="ujv">{#N/A,#N/A,FALSE,"AP-MEHK1 ";#N/A,#N/A,FALSE,"MEGBJ";#N/A,#N/A,FALSE,"MEGSH";#N/A,#N/A,FALSE,"MEGGZ "}</definedName>
    <definedName name="UKCOMMALOOKUP">[30]COMMAUK!$F$13:$Q$39</definedName>
    <definedName name="UKI">{"资产",#N/A,FALSE,"TB-BS"}</definedName>
    <definedName name="unit">[44]Notes!$C$3</definedName>
    <definedName name="UnitID">[103]Variables!$B$1</definedName>
    <definedName name="unitname">[44]Notes!$D$3</definedName>
    <definedName name="ups">{"'Sheet1'!$A$1:$J$57","'Sheet1'!$F$32:$F$35","'Sheet1'!$F$32:$F$36"}</definedName>
    <definedName name="USD">'[102]Financial highligts'!$C$40</definedName>
    <definedName name="UY">{"负债及权益",#N/A,FALSE,"TB-BS"}</definedName>
    <definedName name="uyjh">{#N/A,#N/A,FALSE,"AP-MEHK1 ";#N/A,#N/A,FALSE,"MEGBJ";#N/A,#N/A,FALSE,"MEGSH";#N/A,#N/A,FALSE,"MEGGZ "}</definedName>
    <definedName name="V_ALL_3690.HK">'[67]3690.HK_Validation_Sheet'!$A$1:$AI$284</definedName>
    <definedName name="V5.1Fee">'[92]Financ. Overview'!$H$15</definedName>
    <definedName name="ValuationOffset">#REF!</definedName>
    <definedName name="value">3</definedName>
    <definedName name="Variance">[17]Criteria!$G$21:$G$22</definedName>
    <definedName name="VariDataPage1">[143]Input!$E$5</definedName>
    <definedName name="VariDataPage2">[143]Input!$E$31</definedName>
    <definedName name="VariDataPage5">[143]Input!$U$10</definedName>
    <definedName name="VariDataPage6">[143]Input!$U$27</definedName>
    <definedName name="VCX">{"资产",#N/A,FALSE,"TB-BS"}</definedName>
    <definedName name="versionno">1</definedName>
    <definedName name="vhvkb">{#N/A,#N/A,FALSE,"资产负债表";#N/A,#N/A,FALSE,"资产负债表"}</definedName>
    <definedName name="w">{"资产",#N/A,FALSE,"TB-BS"}</definedName>
    <definedName name="Waimai_ASP">'[55]Food delivery'!$64:$64</definedName>
    <definedName name="Waimai_daily_orders">'[55]Food delivery'!$60:$60</definedName>
    <definedName name="Waimai_GTV">'[55]Food delivery'!$53:$53</definedName>
    <definedName name="Waimai_take_rate">'[55]Food delivery'!$68:$68</definedName>
    <definedName name="WD">{#N/A,#N/A,FALSE,"资产负债表";#N/A,#N/A,FALSE,"资产负债表"}</definedName>
    <definedName name="wdf">{#N/A,#N/A,FALSE,"AP-MEHK1 ";#N/A,#N/A,FALSE,"MEGBJ";#N/A,#N/A,FALSE,"MEGSH";#N/A,#N/A,FALSE,"MEGGZ "}</definedName>
    <definedName name="wefre2fe2">{"FIX ASSETS PAGE 1",#N/A,TRUE,"FIXED ASSETS";"FIX ASSETS PAGE 2",#N/A,TRUE,"FIXED ASSETS";"FIX ASSETS PAGE 3",#N/A,TRUE,"FIXED ASSETS";"FIX ASSETS PAGE 4",#N/A,TRUE,"FIXED ASSETS";"FIX ASSETS PAGE 5",#N/A,TRUE,"FIXED ASSETS";"FIX ASSETS PAGE 6",#N/A,TRUE,"FIXED ASSETS";"FIX ASSETS PAGE 7",#N/A,TRUE,"FIXED ASSETS"}</definedName>
    <definedName name="wen">{#N/A,#N/A,FALSE,"AP-MEHK1 ";#N/A,#N/A,FALSE,"MEGBJ";#N/A,#N/A,FALSE,"MEGSH";#N/A,#N/A,FALSE,"MEGGZ "}</definedName>
    <definedName name="wer">[78]基本参数!$A$6</definedName>
    <definedName name="WEW">{#N/A,#N/A,FALSE,"AP-MEHK1 ";#N/A,#N/A,FALSE,"MEGBJ";#N/A,#N/A,FALSE,"MEGSH";#N/A,#N/A,FALSE,"MEGGZ "}</definedName>
    <definedName name="wit">{#N/A,#N/A,FALSE,"AP-MEHK1 ";#N/A,#N/A,FALSE,"MEGBJ";#N/A,#N/A,FALSE,"MEGSH";#N/A,#N/A,FALSE,"MEGGZ "}</definedName>
    <definedName name="wot">{#N/A,#N/A,FALSE,"AP-MEHK1 ";#N/A,#N/A,FALSE,"MEGBJ";#N/A,#N/A,FALSE,"MEGSH";#N/A,#N/A,FALSE,"MEGGZ "}</definedName>
    <definedName name="wre.report">{#N/A,#N/A,FALSE,"AP-MEHK1 ";#N/A,#N/A,FALSE,"MEGBJ";#N/A,#N/A,FALSE,"MEGSH";#N/A,#N/A,FALSE,"MEGGZ "}</definedName>
    <definedName name="wrn">{#N/A,#N/A,FALSE,"AP-MEHK1 ";#N/A,#N/A,FALSE,"MEGBJ";#N/A,#N/A,FALSE,"MEGSH";#N/A,#N/A,FALSE,"MEGGZ "}</definedName>
    <definedName name="wrn.????.">{#N/A,#N/A,FALSE,"??";#N/A,#N/A,FALSE,"????";#N/A,#N/A,FALSE,"????";#N/A,#N/A,FALSE,"????";#N/A,#N/A,FALSE,"?????";#N/A,#N/A,FALSE,"??CASH";#N/A,#N/A,FALSE,"?????";#N/A,#N/A,FALSE,"????";#N/A,#N/A,FALSE,"?? ??";#N/A,#N/A,FALSE,"????";#N/A,#N/A,FALSE,"??? (2)";#N/A,#N/A,FALSE,"????";#N/A,#N/A,FALSE,"????";#N/A,#N/A,FALSE,"????";#N/A,#N/A,FALSE,"???";#N/A,#N/A,FALSE,"????"}</definedName>
    <definedName name="wrn.?????.">{#N/A,#N/A,FALSE,"??";#N/A,#N/A,FALSE,"????";#N/A,#N/A,FALSE,"????";#N/A,#N/A,FALSE,"???";#N/A,#N/A,FALSE,"????? (2)";#N/A,#N/A,FALSE,"??????";#N/A,#N/A,FALSE,"????";#N/A,#N/A,FALSE,"?????";#N/A,#N/A,FALSE,"????? (2)";#N/A,#N/A,FALSE,"??";#N/A,#N/A,FALSE,"??";#N/A,#N/A,FALSE,"?? (2)";#N/A,#N/A,FALSE,"????";#N/A,#N/A,FALSE,"????";#N/A,#N/A,FALSE,"???";#N/A,#N/A,FALSE,"?????";#N/A,#N/A,FALSE,"?????";#N/A,#N/A,FALSE,"????? (2)";#N/A,#N/A,FALSE,"??";#N/A,#N/A,FALSE,"??";#N/A,#N/A,FALSE,"??";#N/A,#N/A,FALSE,"??"}</definedName>
    <definedName name="wrn.ADDITIONAL._.FOREX.">{"ADDL FOREX",#N/A,FALSE,"ADD'TL FX"}</definedName>
    <definedName name="wrn.Aging._.and._.Trend._.Analysis.">{#N/A,#N/A,FALSE,"Aging Summary";#N/A,#N/A,FALSE,"Ratio Analysis";#N/A,#N/A,FALSE,"Test 120 Day Accts";#N/A,#N/A,FALSE,"Tickmarks"}</definedName>
    <definedName name="wrn.All.">{#N/A,#N/A,TRUE,"Introduction";#N/A,#N/A,TRUE,"Operating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_.M._.Schedules.">{"M1Print",#N/A,TRUE,"M1";"M2Print",#N/A,TRUE,"M2";"M1sPrint",#N/A,TRUE,"M1s";"M2aPrint",#N/A,TRUE,"M2a";"M4Print",#N/A,TRUE,"M4";"M5Print",#N/A,TRUE,"M5";"M6Print",#N/A,TRUE,"M6";"M6_1Print",#N/A,TRUE,"M6_1";"M6_2Print",#N/A,TRUE,"M6_2";"M7_1Print",#N/A,TRUE,"M7_1";"M7_2Print",#N/A,TRUE,"M7_2"}</definedName>
    <definedName name="wrn.all._.M._.Schedules.1">{"M1Print",#N/A,TRUE,"M1";"M2Print",#N/A,TRUE,"M2";"M1sPrint",#N/A,TRUE,"M1s";"M2aPrint",#N/A,TRUE,"M2a";"M4Print",#N/A,TRUE,"M4";"M5Print",#N/A,TRUE,"M5";"M6Print",#N/A,TRUE,"M6";"M6_1Print",#N/A,TRUE,"M6_1";"M6_2Print",#N/A,TRUE,"M6_2";"M7_1Print",#N/A,TRUE,"M7_1";"M7_2Print",#N/A,TRUE,"M7_2"}</definedName>
    <definedName name="wrn.All._.Sheets.">{#N/A,#N/A,TRUE,"Assumptions";#N/A,#N/A,TRUE,"Sources of Revenue";#N/A,#N/A,TRUE,"P&amp;L";#N/A,#N/A,TRUE,"Bal. Sheet";#N/A,#N/A,TRUE,"Rights Issue &amp; X Adjustment";#N/A,#N/A,TRUE,"Transaction Model"}</definedName>
    <definedName name="wrn.All._.Stock_10_12_14.">{"Has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1">{#N/A,#N/A,TRUE,"Introduction";#N/A,#N/A,TRUE,"Operating Statistics";#N/A,#N/A,TRUE,"Capex &amp; Depreciation";#N/A,#N/A,TRUE,"Equity";#N/A,#N/A,TRUE,"Debt";#N/A,#N/A,TRUE,"Debt (2)";#N/A,#N/A,TRUE,"Financials";#N/A,#N/A,TRUE,"Market Info";#N/A,#N/A,TRUE,"Company Card";#N/A,#N/A,TRUE,"One Pager";#N/A,#N/A,TRUE,"First Page";#N/A,#N/A,TRUE,"Technical";#N/A,#N/A,TRUE,"Range Names"}</definedName>
    <definedName name="wrn.AUSTRALIA._.SALES.">{"AUSTRALIA SALES",#N/A,FALSE,"AUST SLS"}</definedName>
    <definedName name="wrn.Board._.Reports.">{#N/A,#N/A,FALSE,"M1s Board";#N/A,#N/A,FALSE,"M3 Board";#N/A,#N/A,FALSE,"M6 Board";#N/A,#N/A,FALSE,"M7";#N/A,#N/A,FALSE,"M7B";#N/A,#N/A,FALSE,"M8";#N/A,#N/A,FALSE,"M8A Board";#N/A,#N/A,FALSE,"AF1 Board"}</definedName>
    <definedName name="wrn.BRAZIL._.SALES.">{"BRAZIL SALES",#N/A,FALSE,"BRAZ SLS"}</definedName>
    <definedName name="wrn.BS_SCHEDULE.">{#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wrn.CALENDAR.">{"look1",#N/A,FALSE,"Calendar";"look2",#N/A,FALSE,"Calendar";"look3",#N/A,FALSE,"Calendar"}</definedName>
    <definedName name="wrn.Daily._.P._.and._.L._.Forecast.">{#N/A,#N/A,TRUE,"GRAND TOTAL";#N/A,#N/A,TRUE,"SAM'S";#N/A,#N/A,TRUE,"SUPERCENTER";#N/A,#N/A,TRUE,"MEXICO";#N/A,#N/A,TRUE,"FOOD";#N/A,#N/A,TRUE,"TOTAL WITHOUT CIFRA TAB"}</definedName>
    <definedName name="wrn.ERNST.">{#N/A,#N/A,FALSE,"YTCHAN";#N/A,#N/A,FALSE,"TOMMY";#N/A,#N/A,FALSE,"REP.OFFICE";#N/A,#N/A,FALSE,"E&amp;Y_CONSULTANT";#N/A,#N/A,FALSE,"BT &amp; CIT"}</definedName>
    <definedName name="wrn.europe">{"EUROPE SALES",#N/A,FALSE,"EUR SLS"}</definedName>
    <definedName name="wrn.EUROPE._.SALES.">{"EUROPE SALES",#N/A,FALSE,"EUR SLS"}</definedName>
    <definedName name="wrn.F.S..">{#N/A,#N/A,TRUE,"COVER";#N/A,#N/A,TRUE,"DIR";#N/A,#N/A,TRUE,"AUDIT"}</definedName>
    <definedName name="wrn.FA.">{#N/A,#N/A,FALSE,"a-f&amp;e";#N/A,#N/A,FALSE,"a-land";#N/A,#N/A,FALSE,"pl-deprec";#N/A,#N/A,FALSE,"pl-fa-disposals"}</definedName>
    <definedName name="wrn.FIXED._.ASSETS.">{"FIX ASSETS PAGE 1",#N/A,TRUE,"FIXED ASSETS";"FIX ASSETS PAGE 2",#N/A,TRUE,"FIXED ASSETS";"FIX ASSETS PAGE 3",#N/A,TRUE,"FIXED ASSETS";"FIX ASSETS PAGE 4",#N/A,TRUE,"FIXED ASSETS";"FIX ASSETS PAGE 5",#N/A,TRUE,"FIXED ASSETS";"FIX ASSETS PAGE 6",#N/A,TRUE,"FIXED ASSETS";"FIX ASSETS PAGE 7",#N/A,TRUE,"FIXED ASSETS"}</definedName>
    <definedName name="wrn.form.">{#N/A,#N/A,FALSE,"OffAdvance";#N/A,#N/A,FALSE,"OffExpRprt";#N/A,#N/A,FALSE,"Entertmnt";#N/A,#N/A,FALSE,"Promotion";#N/A,#N/A,FALSE,"Travelling"}</definedName>
    <definedName name="wrn.Full._.Financials.">{#N/A,#N/A,TRUE,"Financials";#N/A,#N/A,TRUE,"Operating Statistics";#N/A,#N/A,TRUE,"Capex &amp; Depreciation";#N/A,#N/A,TRUE,"Debt"}</definedName>
    <definedName name="wrn.Full._.Financials.1">{#N/A,#N/A,TRUE,"Financials";#N/A,#N/A,TRUE,"Operating Statistics";#N/A,#N/A,TRUE,"Capex &amp; Depreciation";#N/A,#N/A,TRUE,"Debt"}</definedName>
    <definedName name="wrn.gb.">{#N/A,#N/A,FALSE,"资产负债表";#N/A,#N/A,FALSE,"资产负债表"}</definedName>
    <definedName name="wrn.INPUT._.DATA.">{"ACTUALS",#N/A,FALSE,"INPUT";"EXPECTEDS",#N/A,FALSE,"INPUT";"PRIOR POR",#N/A,FALSE,"INPUT";"CHECK FIGURES",#N/A,FALSE,"INPUT"}</definedName>
    <definedName name="wrn.JAPAN._.SALES.">{"JAPAN SALES",#N/A,FALSE,"JAP SLS"}</definedName>
    <definedName name="wrn.lrb.rpt.">{#N/A,#N/A,FALSE,"lrb1"}</definedName>
    <definedName name="wrn.M1._.Operating._.Statement.">{"M1Print",#N/A,FALSE,"M1"}</definedName>
    <definedName name="wrn.M1s._.Statistics.">{"M1sPrint",#N/A,FALSE,"M1s"}</definedName>
    <definedName name="wrn.M2._.Balance._.Sheet.">{"M2Print",#N/A,FALSE,"M2"}</definedName>
    <definedName name="wrn.M2a._.Cashflow.">{"M2aPrint",#N/A,FALSE,"M2a"}</definedName>
    <definedName name="wrn.M4._.Inventories.">{"M4Print",#N/A,FALSE,"M4"}</definedName>
    <definedName name="wrn.M5._.Flash._.and._.Forecast.">{"M5Print",#N/A,FALSE,"M5"}</definedName>
    <definedName name="wrn.M6._.Management._.Summary.">{"M6Print",#N/A,FALSE,"M6";"M6_1Print",#N/A,FALSE,"M6_1";"M6_2Print",#N/A,FALSE,"M6_2"}</definedName>
    <definedName name="wrn.M7._.Financial._.Controllers._.report.">{"M7_1Print",#N/A,TRUE,"M7_1";"M7_2Print",#N/A,TRUE,"M7_2"}</definedName>
    <definedName name="wrn.MEMO._.ONLY.">{"MEMO",#N/A,FALSE,"MEMO"}</definedName>
    <definedName name="wrn.Monthly._.report.">{#N/A,#N/A,FALSE,"9901"}</definedName>
    <definedName name="wrn.mplbdol.">{"mplbdol",#N/A,FALSE,"DOLLARS"}</definedName>
    <definedName name="wrn.mplbs.">{"mplbs",#N/A,FALSE,"LOCAL CURRENCY"}</definedName>
    <definedName name="wrn.mspd.">{#N/A,#N/A,FALSE,"Summary";#N/A,#N/A,FALSE,"Marketable";#N/A,#N/A,FALSE,"Nonmarketable";#N/A,#N/A,FALSE,"GAS";#N/A,#N/A,FALSE,"TableIV";#N/A,#N/A,FALSE,"Footnotes"}</definedName>
    <definedName name="wrn.new96FS.">{#N/A,#N/A,FALSE,"CONTENTS";#N/A,#N/A,FALSE,"DR";#N/A,#N/A,FALSE,"PL";#N/A,#N/A,FALSE,"BS";#N/A,#N/A,FALSE,"Cash Flow";#N/A,#N/A,FALSE,"NOTES";#N/A,#N/A,FALSE,"NOTES (FA)";#N/A,#N/A,FALSE,"Notes(3)";#N/A,#N/A,FALSE,"NOTES (4)";#N/A,#N/A,FALSE,"DP&amp;L";#N/A,#N/A,FALSE,"EXPENSES";#N/A,#N/A,FALSE,"EXPENSES-1"}</definedName>
    <definedName name="wrn.new96PTC.">{#N/A,#N/A,FALSE,"TAXC.INDEX";#N/A,#N/A,FALSE,"Schedule I";#N/A,#N/A,FALSE,"Schedule  II";#N/A,#N/A,FALSE,"Schedule III";#N/A,#N/A,FALSE,"Schedule IV";#N/A,#N/A,FALSE,"Schedule IV (Cont'd)";#N/A,#N/A,FALSE,"Schedule V";#N/A,#N/A,FALSE,"Schedule VI";#N/A,#N/A,FALSE,"Schedule VII"}</definedName>
    <definedName name="wrn.no.1.">{#N/A,#N/A,FALSE,"Const";#N/A,#N/A,FALSE,"P&amp;L";#N/A,#N/A,FALSE,"Sale"}</definedName>
    <definedName name="wrn.Office.">{#N/A,#N/A,FALSE,"OffAdvance";#N/A,#N/A,FALSE,"OffExpRprt";#N/A,#N/A,FALSE,"Travelling";#N/A,#N/A,FALSE,"Entertmnt";#N/A,#N/A,FALSE,"Promotion"}</definedName>
    <definedName name="wrn.One._.Pager._.plus._.Technicals.">{#N/A,#N/A,FALSE,"One Pager";#N/A,#N/A,FALSE,"Technical"}</definedName>
    <definedName name="wrn.Palmer._.Report.">{"Annual Income Statement",#N/A,FALSE,"PWIR";"Income1995",#N/A,FALSE,"PWIR";"Income1996",#N/A,FALSE,"PWIR";"Income1997",#N/A,FALSE,"PWIR";"Income1998",#N/A,FALSE,"PWIR";"Annual Cash Flow Statement",#N/A,FALSE,"PWIR";"Annual Valuation Model",#N/A,FALSE,"PWIR"}</definedName>
    <definedName name="wrn.Palmer.a">{"Annual Income Statement",#N/A,FALSE,"PWIR";"Income1995",#N/A,FALSE,"PWIR";"Income1996",#N/A,FALSE,"PWIR";"Income1997",#N/A,FALSE,"PWIR";"Income1998",#N/A,FALSE,"PWIR";"Annual Cash Flow Statement",#N/A,FALSE,"PWIR";"Annual Valuation Model",#N/A,FALSE,"PWIR"}</definedName>
    <definedName name="wrn.PL_SCHEDULE.">{#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wrn.Report.">{#N/A,#N/A,FALSE,"AP-MEHK1 ";#N/A,#N/A,FALSE,"MEGBJ";#N/A,#N/A,FALSE,"MEGSH";#N/A,#N/A,FALSE,"MEGGZ "}</definedName>
    <definedName name="wrn.Sales.">{#N/A,#N/A,FALSE,"Marketing";#N/A,#N/A,FALSE,"Selling";#N/A,#N/A,FALSE,"Promotional";#N/A,#N/A,FALSE,"Advertising"}</definedName>
    <definedName name="wrn.SALES._.PROJECTION._.REPORT.">{"MEMO",#N/A,FALSE,"MEMO";"PAGE 1",#N/A,FALSE,"CURR YEAR";"PAGE 2",#N/A,FALSE,"QTR1";"PAGE 3",#N/A,FALSE,"QTR2";"PAGE 4",#N/A,FALSE,"QTR3";"PAGE 5",#N/A,FALSE,"QTR4";"PAGE 6",#N/A,FALSE,"PRIOR INT";"PAGE 7",#N/A,FALSE,"DELTA PR INT";"PAGE 8",#N/A,FALSE,"FIN REV";"PAGE 9",#N/A,FALSE,"DELTA FR";"PAGE 10",#N/A,FALSE,"PR YR";"PAGE 11",#N/A,FALSE,"DELTA PR YR";"PAGE 12",#N/A,FALSE,"MNTHLY EST"}</definedName>
    <definedName name="wrn.summit.">{#N/A,#N/A,FALSE,"TB";#N/A,#N/A,FALSE,"DR";#N/A,#N/A,FALSE,"AR";#N/A,#N/A,FALSE,"PL";#N/A,#N/A,FALSE,"BS";#N/A,#N/A,FALSE,"NOTES";#N/A,#N/A,FALSE,"NOTES (2)";#N/A,#N/A,FALSE,"NOTES (3)";#N/A,#N/A,FALSE,"DPL";#N/A,#N/A,FALSE,"TAXC.INDEX";#N/A,#N/A,FALSE,"Schedule I";#N/A,#N/A,FALSE,"Adjustments"}</definedName>
    <definedName name="wrn.sunmicro.">{#N/A,#N/A,FALSE,"FREEMAN";#N/A,#N/A,FALSE,"STEPHEN";#N/A,#N/A,FALSE,"VICTOR"}</definedName>
    <definedName name="wrn.taihing.">{#N/A,#N/A,FALSE,"DIR-REP";#N/A,#N/A,FALSE,"AUD-REPORT";#N/A,#N/A,FALSE,"P7L&amp;BS";#N/A,#N/A,FALSE,"NOTES";#N/A,#N/A,FALSE,"FA";#N/A,#N/A,FALSE,"NOTES (2)";#N/A,#N/A,FALSE,"Schedule  IV";#N/A,#N/A,FALSE,"Schedule V"}</definedName>
    <definedName name="wrn.TEMP.">{#N/A,#N/A,FALSE,"TB";#N/A,#N/A,FALSE,"AR";#N/A,#N/A,FALSE,"BS";#N/A,#N/A,FALSE,"PL";#N/A,#N/A,FALSE,"NOTES";#N/A,#N/A,FALSE,"NOTES (2)";#N/A,#N/A,FALSE,"NOTES (3)";#N/A,#N/A,FALSE,"TAXC.INDEX";#N/A,#N/A,FALSE,"Schedule I";#N/A,#N/A,FALSE,"DPL";#N/A,#N/A,FALSE,"Schedule IV";#N/A,#N/A,FALSE,"Adjustments"}</definedName>
    <definedName name="wrn.tiger.">{#N/A,#N/A,FALSE,"TB";#N/A,#N/A,FALSE,"CONTENTS";#N/A,#N/A,FALSE,"DR";#N/A,#N/A,FALSE,"AR";#N/A,#N/A,FALSE,"BS";#N/A,#N/A,FALSE,"PL";#N/A,#N/A,FALSE,"NOTES";#N/A,#N/A,FALSE,"NOTES (2)";#N/A,#N/A,FALSE,"NOTES (3)";#N/A,#N/A,FALSE,"DPL";#N/A,#N/A,FALSE,"DPL"}</definedName>
    <definedName name="wrn.tigertax.">{#N/A,#N/A,FALSE,"TAXC.INDEX";#N/A,#N/A,FALSE,"Schedule I";#N/A,#N/A,FALSE,"Schedule  II";#N/A,#N/A,FALSE,"Schedule III"}</definedName>
    <definedName name="wrn.tope">{"toptrial",#N/A,TRUE,"toptrial";"adjustment",#N/A,TRUE,"toptrial";"voucher",#N/A,TRUE,"toptrial"}</definedName>
    <definedName name="wrn.toptrial.">{"toptrial",#N/A,TRUE,"toptrial";"adjustment",#N/A,TRUE,"toptrial";"voucher",#N/A,TRUE,"toptrial"}</definedName>
    <definedName name="wrn.voucher9703.">{#N/A,#N/A,FALSE,"970301";#N/A,#N/A,FALSE,"970302";#N/A,#N/A,FALSE,"970303";#N/A,#N/A,FALSE,"970304";#N/A,#N/A,FALSE,"COM1";#N/A,#N/A,FALSE,"COM2"}</definedName>
    <definedName name="wrn.YTD._.monthly._.report.">{#N/A,#N/A,FALSE,"YTD ,99"}</definedName>
    <definedName name="wrn.负债及权益.">{"负债及权益",#N/A,FALSE,"TB-BS"}</definedName>
    <definedName name="wrn.企业.">{#N/A,#N/A,FALSE,"其他应收变动表"}</definedName>
    <definedName name="wrn.现金.">{"现金主表",#N/A,FALSE,"正式Cashflow"}</definedName>
    <definedName name="wrn.现金主表.">{"现金主表",#N/A,FALSE,"正式Cashflow"}</definedName>
    <definedName name="wrn.资产.">{"资产",#N/A,FALSE,"TB-BS"}</definedName>
    <definedName name="wrn.전사예산.">{#N/A,#N/A,FALSE,"목차";#N/A,#N/A,FALSE,"요약손익";#N/A,#N/A,FALSE,"월별손익";#N/A,#N/A,FALSE,"요약대차";#N/A,#N/A,FALSE,"대차대조표";#N/A,#N/A,FALSE,"요약CASH";#N/A,#N/A,FALSE,"자금운용표";#N/A,#N/A,FALSE,"판매요약";#N/A,#N/A,FALSE,"탐별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판유리예산.">{#N/A,#N/A,FALSE,"목차";#N/A,#N/A,FALSE,"경영목표";#N/A,#N/A,FALSE,"팀별손익";#N/A,#N/A,FALSE,"총손익";#N/A,#N/A,FALSE,"제품별손익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100.gb">{#N/A,#N/A,FALSE,"资产负债表";#N/A,#N/A,FALSE,"资产负债表"}</definedName>
    <definedName name="wrp.repprt">{#N/A,#N/A,FALSE,"AP-MEHK1 ";#N/A,#N/A,FALSE,"MEGBJ";#N/A,#N/A,FALSE,"MEGSH";#N/A,#N/A,FALSE,"MEGGZ "}</definedName>
    <definedName name="wtr">{#N/A,#N/A,FALSE,"资产负债表";#N/A,#N/A,FALSE,"资产负债表"}</definedName>
    <definedName name="wvu.page10.">{TRUE,FALSE,-1.25,-15.5,484.5,276.75,FALSE,FALSE,TRUE,TRUE,0,1,#N/A,16,#N/A,8.89380530973451,19.4666666666667,1,FALSE,FALSE,3,TRUE,1,FALSE,75,"Swvu.page10.","ACwvu.page10.",#N/A,FALSE,FALSE,0,0,0.25,0.25,1,"","",TRUE,FALSE,FALSE,FALSE,1,60,#N/A,#N/A,FALSE,FALSE,FALSE,FALSE,FALSE,FALSE,FALSE,1,65532,65532,FALSE,FALSE,TRUE,TRUE,TRUE}</definedName>
    <definedName name="wwa">{#N/A,#N/A,FALSE,"AP-MEHK1 ";#N/A,#N/A,FALSE,"MEGBJ";#N/A,#N/A,FALSE,"MEGSH";#N/A,#N/A,FALSE,"MEGGZ "}</definedName>
    <definedName name="WWfc9d1f5de15145a9856abe9c7a60c1b6_634229086858125000">#REF!</definedName>
    <definedName name="www">[144]Sheet2!$B$8:$B$9</definedName>
    <definedName name="WWWW">{#N/A,#N/A,FALSE,"목차";#N/A,#N/A,FALSE,"경영목표";#N/A,#N/A,FALSE,"팀별손익";#N/A,#N/A,FALSE,"총손익";#N/A,#N/A,FALSE,"제품별손익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xhs">{#N/A,#N/A,FALSE,"AP-MEHK1 ";#N/A,#N/A,FALSE,"MEGBJ";#N/A,#N/A,FALSE,"MEGSH";#N/A,#N/A,FALSE,"MEGGZ "}</definedName>
    <definedName name="xhs.report">{#N/A,#N/A,FALSE,"AP-MEHK1 ";#N/A,#N/A,FALSE,"MEGBJ";#N/A,#N/A,FALSE,"MEGSH";#N/A,#N/A,FALSE,"MEGGZ "}</definedName>
    <definedName name="xhshi.report">{#N/A,#N/A,FALSE,"AP-MEHK1 ";#N/A,#N/A,FALSE,"MEGBJ";#N/A,#N/A,FALSE,"MEGSH";#N/A,#N/A,FALSE,"MEGGZ "}</definedName>
    <definedName name="xia">{#N/A,#N/A,FALSE,"AP-MEHK1 ";#N/A,#N/A,FALSE,"MEGBJ";#N/A,#N/A,FALSE,"MEGSH";#N/A,#N/A,FALSE,"MEGGZ "}</definedName>
    <definedName name="XQ">{"资产",#N/A,FALSE,"TB-BS"}</definedName>
    <definedName name="XREF_COLUMN_1">'[145]-SH'!#REF!</definedName>
    <definedName name="XREF_COLUMN_10">'[145]-GZ'!#REF!</definedName>
    <definedName name="XREF_COLUMN_11">'[145]-SZ'!#REF!</definedName>
    <definedName name="XREF_COLUMN_12">'[145]-WZ'!#REF!</definedName>
    <definedName name="XREF_COLUMN_13">#REF!</definedName>
    <definedName name="XREF_COLUMN_14">#REF!</definedName>
    <definedName name="XREF_COLUMN_15">#REF!</definedName>
    <definedName name="XREF_COLUMN_16">#REF!</definedName>
    <definedName name="XREF_COLUMN_17">#REF!</definedName>
    <definedName name="XREF_COLUMN_18">#REF!</definedName>
    <definedName name="XREF_COLUMN_19">#REF!</definedName>
    <definedName name="XREF_COLUMN_2">'[145]-BJ'!#REF!</definedName>
    <definedName name="XREF_COLUMN_20">#REF!</definedName>
    <definedName name="XREF_COLUMN_21">#REF!</definedName>
    <definedName name="XREF_COLUMN_24">#REF!</definedName>
    <definedName name="XREF_COLUMN_25">#REF!</definedName>
    <definedName name="XREF_COLUMN_27">#REF!</definedName>
    <definedName name="XREF_COLUMN_28">#REF!</definedName>
    <definedName name="XREF_COLUMN_29">#REF!</definedName>
    <definedName name="XREF_COLUMN_3">'[145]-GZ'!#REF!</definedName>
    <definedName name="XREF_COLUMN_30">#REF!</definedName>
    <definedName name="XREF_COLUMN_31">#REF!</definedName>
    <definedName name="XREF_COLUMN_33">#REF!</definedName>
    <definedName name="XREF_COLUMN_34">#REF!</definedName>
    <definedName name="XREF_COLUMN_35">#REF!</definedName>
    <definedName name="XREF_COLUMN_36">#REF!</definedName>
    <definedName name="XREF_COLUMN_4">'[145]-SZ'!#REF!</definedName>
    <definedName name="XREF_COLUMN_5">#REF!</definedName>
    <definedName name="XREF_COLUMN_6">#REF!</definedName>
    <definedName name="XREF_COLUMN_7">#REF!</definedName>
    <definedName name="XREF_COLUMN_8">'[145]-SH'!#REF!</definedName>
    <definedName name="XREF_COLUMN_9">'[145]-BJ'!#REF!</definedName>
    <definedName name="XRefColumnsCount">18</definedName>
    <definedName name="XRefCopy11">#REF!</definedName>
    <definedName name="XRefCopy13">'[146]Group Summary'!#REF!</definedName>
    <definedName name="XRefCopy15">'[146]Group Summary'!#REF!</definedName>
    <definedName name="XRefCopy16">#REF!</definedName>
    <definedName name="XRefCopy17">#REF!</definedName>
    <definedName name="XRefCopy18">#REF!</definedName>
    <definedName name="XRefCopy19">#REF!</definedName>
    <definedName name="XRefCopy21">'[147]CD FMA'!#REF!</definedName>
    <definedName name="XRefCopy24">#REF!</definedName>
    <definedName name="XRefCopy27">#REF!</definedName>
    <definedName name="XRefCopy28">#REF!</definedName>
    <definedName name="XRefCopy29">#REF!</definedName>
    <definedName name="XRefCopy3">#REF!</definedName>
    <definedName name="XRefCopy34">#REF!</definedName>
    <definedName name="XRefCopy4">#REF!</definedName>
    <definedName name="XRefCopy5">#REF!</definedName>
    <definedName name="XRefCopy6">#REF!</definedName>
    <definedName name="XRefCopy60">'[148]6-GZ'!#REF!</definedName>
    <definedName name="XRefCopy67">#REF!</definedName>
    <definedName name="XRefCopy73">#REF!</definedName>
    <definedName name="XRefCopy8">#REF!</definedName>
    <definedName name="XRefCopy9">#REF!</definedName>
    <definedName name="XRefCopyRangeCount">5</definedName>
    <definedName name="XRefPaste10">'[145]-WZ'!#REF!</definedName>
    <definedName name="XRefPaste11">#REF!</definedName>
    <definedName name="XRefPaste12">#REF!</definedName>
    <definedName name="XRefPaste13">#REF!</definedName>
    <definedName name="XRefPaste134">#REF!</definedName>
    <definedName name="XRefPaste14">#REF!</definedName>
    <definedName name="XRefPaste144">#REF!</definedName>
    <definedName name="XRefPaste15">#REF!</definedName>
    <definedName name="XRefPaste168">#REF!</definedName>
    <definedName name="XRefPaste18">#REF!</definedName>
    <definedName name="XRefPaste20">#REF!</definedName>
    <definedName name="XRefPaste21">#REF!</definedName>
    <definedName name="XRefPaste5">#REF!</definedName>
    <definedName name="XRefPaste6">'[145]-SH'!#REF!</definedName>
    <definedName name="XRefPaste7">'[145]-BJ'!#REF!</definedName>
    <definedName name="XRefPaste8">'[145]-GZ'!#REF!</definedName>
    <definedName name="XRefPaste9">'[145]-SZ'!#REF!</definedName>
    <definedName name="XRefPasteRangeCount">18</definedName>
    <definedName name="XS\">{"资产",#N/A,FALSE,"TB-BS"}</definedName>
    <definedName name="y">{#N/A,#N/A,FALSE,"970301";#N/A,#N/A,FALSE,"970302";#N/A,#N/A,FALSE,"970303";#N/A,#N/A,FALSE,"970304";#N/A,#N/A,FALSE,"COM1";#N/A,#N/A,FALSE,"COM2"}</definedName>
    <definedName name="Year">[103]Variables!$B$4</definedName>
    <definedName name="Year1">[111]Sommaire!$I$33</definedName>
    <definedName name="YGBP">{"现金主表",#N/A,FALSE,"正式Cashflow"}</definedName>
    <definedName name="YH">{"资产",#N/A,FALSE,"TB-BS"}</definedName>
    <definedName name="YHY">{"现金主表",#N/A,FALSE,"正式Cashflow"}</definedName>
    <definedName name="yuj">{"现金主表",#N/A,FALSE,"正式Cashflow"}</definedName>
    <definedName name="YUTF">{"负债及权益",#N/A,FALSE,"TB-BS"}</definedName>
    <definedName name="yuy">{"FIX ASSETS PAGE 1",#N/A,TRUE,"FIXED ASSETS";"FIX ASSETS PAGE 2",#N/A,TRUE,"FIXED ASSETS";"FIX ASSETS PAGE 3",#N/A,TRUE,"FIXED ASSETS";"FIX ASSETS PAGE 4",#N/A,TRUE,"FIXED ASSETS";"FIX ASSETS PAGE 5",#N/A,TRUE,"FIXED ASSETS";"FIX ASSETS PAGE 6",#N/A,TRUE,"FIXED ASSETS";"FIX ASSETS PAGE 7",#N/A,TRUE,"FIXED ASSETS"}</definedName>
    <definedName name="zdry">{#N/A,#N/A,FALSE,"资产负债表";#N/A,#N/A,FALSE,"资产负债表"}</definedName>
    <definedName name="zerey">{#N/A,#N/A,FALSE,"资产负债表";#N/A,#N/A,FALSE,"资产负债表"}</definedName>
    <definedName name="zh">[112]毛利分析图!$J$8</definedName>
    <definedName name="zj">[83]参数!$A$4</definedName>
    <definedName name="zjgch2000.dbf">#REF!</definedName>
    <definedName name="ZS">{"资产",#N/A,FALSE,"TB-BS"}</definedName>
    <definedName name="ZSD">{"现金主表",#N/A,FALSE,"正式Cashflow"}</definedName>
    <definedName name="ZSX">{"现金主表",#N/A,FALSE,"正式Cashflow"}</definedName>
    <definedName name="โรงงาน___ส่วน____________________________________">[149]CE!$A$3</definedName>
    <definedName name="啊">'[150]1月固定资产清单'!$A$1:$AD$1558</definedName>
    <definedName name="庵东">#REF!</definedName>
    <definedName name="半成品">#REF!</definedName>
    <definedName name="包装物">#REF!</definedName>
    <definedName name="备用">{#N/A,#N/A,FALSE,"OffAdvance";#N/A,#N/A,FALSE,"OffExpRprt";#N/A,#N/A,FALSE,"Entertmnt";#N/A,#N/A,FALSE,"Promotion";#N/A,#N/A,FALSE,"Travelling"}</definedName>
    <definedName name="本公司名称">[151]Disclosure!$L$10</definedName>
    <definedName name="本期期间">[152]Status!$O$10</definedName>
    <definedName name="本期期末">[151]Disclosure!$C$13</definedName>
    <definedName name="币种">[153]REFERENCE!$A$1:$A$65536</definedName>
    <definedName name="表">#REF!</definedName>
    <definedName name="博力高">'[154]MTX-AR'!#REF!</definedName>
    <definedName name="部门">[155]参数!$A$2:$A$13</definedName>
    <definedName name="财务费用">{"现金主表",#N/A,FALSE,"正式Cashflow"}</definedName>
    <definedName name="产成品">#REF!</definedName>
    <definedName name="陈勇">#REF!</definedName>
    <definedName name="成本161231比例">'[26]费用&amp;成本(非路宝)'!$AXQ$4</definedName>
    <definedName name="成本16930比例">'[26]费用&amp;成本(非路宝)'!$AXP$4</definedName>
    <definedName name="成本17930比例">'[26]费用&amp;成本(非路宝)'!$AXR$4</definedName>
    <definedName name="成本计算单_汇总显示_">#REF!</definedName>
    <definedName name="担保比率V1">[156]底稿!$D$5</definedName>
    <definedName name="低耗品">#REF!</definedName>
    <definedName name="调后合计">#REF!</definedName>
    <definedName name="都">[157]Sheet2!$B$8:$B$9</definedName>
    <definedName name="短期借款">#REF!</definedName>
    <definedName name="发出商品">#REF!</definedName>
    <definedName name="发的啊飞">{#N/A,#N/A,FALSE,"Aging Summary";#N/A,#N/A,FALSE,"Ratio Analysis";#N/A,#N/A,FALSE,"Test 120 Day Accts";#N/A,#N/A,FALSE,"Tickmarks"}</definedName>
    <definedName name="富邦">'[158]麦迪信-主营业务收入'!#REF!</definedName>
    <definedName name="公司代码">[153]REFERENCE!$B$1:$B$65536</definedName>
    <definedName name="固定5">#REF!</definedName>
    <definedName name="固定资产11">#REF!</definedName>
    <definedName name="固定资产5406">[159]清单12.31!$A$1:$Q$170</definedName>
    <definedName name="固定资产及累计折旧明细帐">#REF!</definedName>
    <definedName name="固定资产清单">[160]初始设定!$A$1:$Q$170</definedName>
    <definedName name="管理费用161231比例">'[26]费用&amp;成本(非路宝)'!$AXQ$2</definedName>
    <definedName name="管理费用16930比例">'[26]费用&amp;成本(非路宝)'!$AXP$2</definedName>
    <definedName name="管理费用17930比例">'[26]费用&amp;成本(非路宝)'!$AXR$2</definedName>
    <definedName name="合计">[27]分产品销售收入、成本分析表!$A$240</definedName>
    <definedName name="货币资金1">[161]工时统计!$A$1:$R$1134</definedName>
    <definedName name="机器设备暂估">#N/A</definedName>
    <definedName name="绩效工资计算表">[86]工时统计!$A$1:$Q$170</definedName>
    <definedName name="减少抽查">#N/A</definedName>
    <definedName name="减少抽查_第2页">#REF!</definedName>
    <definedName name="借款">{#N/A,#N/A,FALSE,"970301";#N/A,#N/A,FALSE,"970302";#N/A,#N/A,FALSE,"970303";#N/A,#N/A,FALSE,"970304";#N/A,#N/A,FALSE,"COM1";#N/A,#N/A,FALSE,"COM2"}</definedName>
    <definedName name="开发间接费用">#REF!</definedName>
    <definedName name="苛">{"M1sPrint",#N/A,FALSE,"M1s"}</definedName>
    <definedName name="科目余额表">[162]物资采购含税转出!$B$3:$D$113</definedName>
    <definedName name="대차대조표">'[163]#1(BS)'!#REF!</definedName>
    <definedName name="梅兰日兰UPS">{"'Sheet1'!$A$1:$J$57","'Sheet1'!$F$32:$F$35","'Sheet1'!$F$32:$F$36"}</definedName>
    <definedName name="明细分类账">#REF!</definedName>
    <definedName name="年初合计">#REF!</definedName>
    <definedName name="年末合计">#REF!</definedName>
    <definedName name="年末合计1">#REF!</definedName>
    <definedName name="年末合计3">#REF!</definedName>
    <definedName name="年末余额4">#REF!</definedName>
    <definedName name="年末余额5">#REF!</definedName>
    <definedName name="哦哦">#REF!</definedName>
    <definedName name="其他2">[164]details!$B$1:$B$463</definedName>
    <definedName name="其他产品">[27]分产品销售收入、成本分析表!$A$164</definedName>
    <definedName name="其他项环比分析">'[105]Library Procedures'!#REF!</definedName>
    <definedName name="其他应付款">#REF!</definedName>
    <definedName name="三">{"资产",#N/A,FALSE,"TB-BS"}</definedName>
    <definedName name="商标采购.dbf">#REF!</definedName>
    <definedName name="申二年末">[151]Disclosure!$C$9</definedName>
    <definedName name="申二期间">[152]Status!$O$8</definedName>
    <definedName name="申二期末">[152]Status!$N$8</definedName>
    <definedName name="申前一年期末">[151]Disclosure!$C$5</definedName>
    <definedName name="申三年末">[151]Disclosure!$C$11</definedName>
    <definedName name="申一年末">[151]Disclosure!$C$7</definedName>
    <definedName name="申一期间">[152]Status!$O$6</definedName>
    <definedName name="申一期末">[152]Status!$N$6</definedName>
    <definedName name="生产成本">#REF!</definedName>
    <definedName name="式">[86]工时统计!$A$1:$R$1134</definedName>
    <definedName name="试验">{#N/A,#N/A,FALSE,"OffAdvance";#N/A,#N/A,FALSE,"OffExpRprt";#N/A,#N/A,FALSE,"Travelling";#N/A,#N/A,FALSE,"Entertmnt";#N/A,#N/A,FALSE,"Promotion"}</definedName>
    <definedName name="数量金额总账">'[165]2月收入成本明细表'!$A$3:$B$56</definedName>
    <definedName name="淘江湖">{#N/A,#N/A,FALSE,"Aging Summary";#N/A,#N/A,FALSE,"Ratio Analysis";#N/A,#N/A,FALSE,"Test 120 Day Accts";#N/A,#N/A,FALSE,"Tickmarks"}</definedName>
    <definedName name="完美">{#N/A,#N/A,FALSE,"Marketing";#N/A,#N/A,FALSE,"Selling";#N/A,#N/A,FALSE,"Promotional";#N/A,#N/A,FALSE,"Advertising"}</definedName>
    <definedName name="委托加工">#REF!</definedName>
    <definedName name="项目编码">[153]REFERENCE!$K$1:$K$65536</definedName>
    <definedName name="销售费用161231比例">'[26]费用&amp;成本(非路宝)'!$AXQ$3</definedName>
    <definedName name="销售费用16930比例">'[26]费用&amp;成本(非路宝)'!$AXP$3</definedName>
    <definedName name="销售费用17930比例">'[26]费用&amp;成本(非路宝)'!$AXR$3</definedName>
    <definedName name="销售毛利润汇总表">'[166]销售毛利润汇总表（原始）'!$A$1:$M$903</definedName>
    <definedName name="新">#REF!</definedName>
    <definedName name="新1新">#REF!</definedName>
    <definedName name="选择单位进行分析">#N/A</definedName>
    <definedName name="业务数据">{#N/A,#N/A,FALSE,"Aging Summary";#N/A,#N/A,FALSE,"Ratio Analysis";#N/A,#N/A,FALSE,"Test 120 Day Accts";#N/A,#N/A,FALSE,"Tickmarks"}</definedName>
    <definedName name="伊隆n.">{#N/A,#N/A,FALSE,"Aging Summary";#N/A,#N/A,FALSE,"Ratio Analysis";#N/A,#N/A,FALSE,"Test 120 Day Accts";#N/A,#N/A,FALSE,"Tickmarks"}</definedName>
    <definedName name="应会">#REF!</definedName>
    <definedName name="应收票据">{#N/A,#N/A,FALSE,"목차";#N/A,#N/A,FALSE,"경영목표";#N/A,#N/A,FALSE,"팀별손익";#N/A,#N/A,FALSE,"총손익";#N/A,#N/A,FALSE,"제품별손익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应手款">{#N/A,#N/A,FALSE,"970301";#N/A,#N/A,FALSE,"970302";#N/A,#N/A,FALSE,"970303";#N/A,#N/A,FALSE,"970304";#N/A,#N/A,FALSE,"COM1";#N/A,#N/A,FALSE,"COM2"}</definedName>
    <definedName name="应手款1月">{#N/A,#N/A,FALSE,"Marketing";#N/A,#N/A,FALSE,"Selling";#N/A,#N/A,FALSE,"Promotional";#N/A,#N/A,FALSE,"Advertising"}</definedName>
    <definedName name="营业外支出">#REF!</definedName>
    <definedName name="余额表">#REF!</definedName>
    <definedName name="余额表.dbf">#REF!</definedName>
    <definedName name="虞洁莹">#REF!</definedName>
    <definedName name="与华峰集团往来">#REF!</definedName>
    <definedName name="原材料">#REF!</definedName>
    <definedName name="在途材料">#REF!</definedName>
    <definedName name="增加抽查">#N/A</definedName>
    <definedName name="增加抽查_第2页">#REF!</definedName>
    <definedName name="制造费用多栏明细账">[166]制造费用多栏明细账!$A$1:$T$525</definedName>
    <definedName name="손익계산서">'[163]#2(IS)'!#REF!</definedName>
    <definedName name="재고자산매입">'[163]#5-1_Purchase'!#REF!</definedName>
    <definedName name="_xlnm._FilterDatabase" localSheetId="1" hidden="1">'预算小结 (2)'!$A$13:$BC$76</definedName>
    <definedName name="_41" localSheetId="1">LIST:[4]DIV!$A$6:$O$38</definedName>
    <definedName name="lye" localSheetId="1">"31/12/"&amp;LEFT(dc,4)-1</definedName>
    <definedName name="lyec" localSheetId="1">LEFT(dc,4)-1&amp;"年12月31日"</definedName>
    <definedName name="_xlnm.Print_Area" localSheetId="1">'预算小结 (2)'!$A$1:$BA$70</definedName>
    <definedName name="_xlnm.Print_Titles" localSheetId="1">'预算小结 (2)'!$1:$19,'预算小结 (2)'!$A:$B</definedName>
    <definedName name="Tip" localSheetId="1">IF(NO=1,[108]List!$IU$1,[108]List!$IV$1)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739AA885C30C471A8F9F88960B22E27D" descr="post_object_image_1025837927"/>
        <xdr:cNvPicPr/>
      </xdr:nvPicPr>
      <xdr:blipFill>
        <a:blip r:embed="rId1"/>
        <a:stretch>
          <a:fillRect/>
        </a:stretch>
      </xdr:blipFill>
      <xdr:spPr>
        <a:xfrm>
          <a:off x="0" y="0"/>
          <a:ext cx="9144000" cy="2934335"/>
        </a:xfrm>
        <a:prstGeom prst="rect">
          <a:avLst/>
        </a:prstGeom>
      </xdr:spPr>
    </xdr:pic>
  </etc:cellImage>
</etc:cellImages>
</file>

<file path=xl/comments1.xml><?xml version="1.0" encoding="utf-8"?>
<comments xmlns="http://schemas.openxmlformats.org/spreadsheetml/2006/main">
  <authors>
    <author>Unknown User</author>
  </authors>
  <commentList>
    <comment ref="S21" authorId="0">
      <text>
        <r>
          <rPr>
            <b/>
            <sz val="9"/>
            <rFont val="宋体"/>
            <charset val="134"/>
          </rPr>
          <t>柴欢:</t>
        </r>
        <r>
          <rPr>
            <sz val="9"/>
            <rFont val="宋体"/>
            <charset val="134"/>
          </rPr>
          <t xml:space="preserve">
对母公司的研发收入8400万元</t>
        </r>
      </text>
    </comment>
    <comment ref="AI21" authorId="0">
      <text>
        <r>
          <rPr>
            <b/>
            <sz val="9"/>
            <rFont val="宋体"/>
            <charset val="134"/>
          </rPr>
          <t>柴欢:</t>
        </r>
        <r>
          <rPr>
            <sz val="9"/>
            <rFont val="宋体"/>
            <charset val="134"/>
          </rPr>
          <t xml:space="preserve">
1.01+1.42+1.43+1.44</t>
        </r>
      </text>
    </comment>
  </commentList>
</comments>
</file>

<file path=xl/sharedStrings.xml><?xml version="1.0" encoding="utf-8"?>
<sst xmlns="http://schemas.openxmlformats.org/spreadsheetml/2006/main" count="802" uniqueCount="474">
  <si>
    <t>东方基因2026年预算小结汇总表</t>
  </si>
  <si>
    <t>填表说明：1、单位：万元（国内公司为人民币万元，国外公司为当地币种万元）</t>
  </si>
  <si>
    <t>备注的填写说明：</t>
  </si>
  <si>
    <t>序号</t>
  </si>
  <si>
    <t>公司简称</t>
  </si>
  <si>
    <t>25年1-10月
收入实际数</t>
  </si>
  <si>
    <t>25年11-12月
收入预估数</t>
  </si>
  <si>
    <t>2025年
营业收入</t>
  </si>
  <si>
    <t>2026年
营业收入</t>
  </si>
  <si>
    <t>环比变动（%）</t>
  </si>
  <si>
    <t>备注1：收入环比变动原因</t>
  </si>
  <si>
    <t>2025年度收入按季度分</t>
  </si>
  <si>
    <t>2026年度收入按季度分</t>
  </si>
  <si>
    <t>26年收入按集团内外部分</t>
  </si>
  <si>
    <t>毛利率情况</t>
  </si>
  <si>
    <t>2026年费用情况</t>
  </si>
  <si>
    <t>净利润情况</t>
  </si>
  <si>
    <t>固定成本费用</t>
  </si>
  <si>
    <t>2026年度现金流量情况</t>
  </si>
  <si>
    <t>小结</t>
  </si>
  <si>
    <t>提请管理层关注</t>
  </si>
  <si>
    <t>备注</t>
  </si>
  <si>
    <t>批注</t>
  </si>
  <si>
    <t>海外</t>
  </si>
  <si>
    <t>1Q25</t>
  </si>
  <si>
    <t>2Q25</t>
  </si>
  <si>
    <t>3Q25</t>
  </si>
  <si>
    <t>4Q25</t>
  </si>
  <si>
    <t>1Q26</t>
  </si>
  <si>
    <t>2Q26</t>
  </si>
  <si>
    <t>3Q26</t>
  </si>
  <si>
    <t>4Q26</t>
  </si>
  <si>
    <t>集团内</t>
  </si>
  <si>
    <t>集团外</t>
  </si>
  <si>
    <t>其中：
非主业收入</t>
  </si>
  <si>
    <t>2025
毛利率</t>
  </si>
  <si>
    <t>2026
毛利率</t>
  </si>
  <si>
    <t>备注2（请简要说明各业务板块的毛利率，并与2026年毛利率对比，如有较大差异说明原因）</t>
  </si>
  <si>
    <t>2026销售费用</t>
  </si>
  <si>
    <t>2026年销售费用率</t>
  </si>
  <si>
    <t>2025年销售费用率</t>
  </si>
  <si>
    <t>备注3（请填写金额前三的明细项目及金额，并说明销售费用率较2026年变动主要原因）</t>
  </si>
  <si>
    <t>2026管理费用</t>
  </si>
  <si>
    <t>2026年管理费用率</t>
  </si>
  <si>
    <t>2025年管理费用率</t>
  </si>
  <si>
    <t>备注4（请填写金额前三的明细项目及金额，并说明管理费用率较2026年变动主要原因）</t>
  </si>
  <si>
    <t>2026研发费用</t>
  </si>
  <si>
    <t>2026年研发费用率</t>
  </si>
  <si>
    <t>备注5（请填写金额前三的明细项目及金额，并说明研发费用率较2025年变动主要原因。以及主要的研发项目）</t>
  </si>
  <si>
    <t>2026
净利润</t>
  </si>
  <si>
    <t>2025
净利润</t>
  </si>
  <si>
    <t>固定成本费用合计</t>
  </si>
  <si>
    <t>折旧费</t>
  </si>
  <si>
    <t>无形资产摊销</t>
  </si>
  <si>
    <t>长期待摊费用</t>
  </si>
  <si>
    <t>房租物业费</t>
  </si>
  <si>
    <t>职工薪酬-小计</t>
  </si>
  <si>
    <t>职工薪酬-生产</t>
  </si>
  <si>
    <t>职工薪酬-销售</t>
  </si>
  <si>
    <t>职工薪酬-研发</t>
  </si>
  <si>
    <t>职工薪酬-管理</t>
  </si>
  <si>
    <t>其他</t>
  </si>
  <si>
    <t>经营活动产生的现金流量净额</t>
  </si>
  <si>
    <t>投资活动产生的现金流量净额</t>
  </si>
  <si>
    <t>筹资活动产生的现金流量净额</t>
  </si>
  <si>
    <t>资金投入（缺口）</t>
  </si>
  <si>
    <t>备注5（请简要说明是否存在资金缺口，预计在什么时候以什么方式筹集多少资金，计划何时归）</t>
  </si>
  <si>
    <t>26年经营计划目标值</t>
  </si>
  <si>
    <t>差异</t>
  </si>
  <si>
    <t>合并损益情况（收入和净利润）</t>
  </si>
  <si>
    <t>是</t>
  </si>
  <si>
    <t>合并层面调整（收购溢价摊销）</t>
  </si>
  <si>
    <t>集团汇总小计</t>
  </si>
  <si>
    <t>【金额汇总】</t>
  </si>
  <si>
    <t>子公司汇总小计</t>
  </si>
  <si>
    <t>其中：国外子公司</t>
  </si>
  <si>
    <t>国内子公司</t>
  </si>
  <si>
    <t>1.00</t>
  </si>
  <si>
    <t>东方基因</t>
  </si>
  <si>
    <t>衡健整体2025年1-4月毛利15%左右，5-11月毛利-40%，目前无调整计划，26年按-40%预算，导致毛利下降。其他产品暂时按25年毛利预算</t>
  </si>
  <si>
    <t>收入预测增长，主要为集团内收入增长</t>
  </si>
  <si>
    <t>衡健的新项目由衡健承担，委外大幅减少</t>
  </si>
  <si>
    <t>1.01</t>
  </si>
  <si>
    <t>美国衡健</t>
  </si>
  <si>
    <t>2026年计划让康赋直接从ZOG采购，导致对康赋的销售收入减少</t>
  </si>
  <si>
    <t>毛利率的下降主要是因为剔除了对康赋销售毒品检测及传染病检测系列的业务。</t>
  </si>
  <si>
    <t>工资薪金1537万元，许可证费用332万元，佣金325万元。销售收入减少4700万元导致销售费率升高。</t>
  </si>
  <si>
    <t>工资薪金3728万元，折旧费800万元，租赁费534万元，法律咨询费462万元。</t>
  </si>
  <si>
    <t>临床试验与伦理审查6972万元，工资薪金369万元。</t>
  </si>
  <si>
    <t>不存在资金缺口</t>
  </si>
  <si>
    <t>1、25年1-10月收入29003万，11-12月预估收入5824万，合计34827万。管理费用8189万、研发费用3994万、销售费用2712万；盈利1785万。
2、2026年预计营业收入30065万（其中与东方基因的委托研发收入约8400万）、销售费用3009万，管理费用7261万、研发费用7375万（临床及相关费用约6972万元），全年预计亏损4623万。
3、26年较25年同比收入减少4762万，研发费用增加3380万，净利润减少6408万。
提请关注：研发费用需要明确是美国承担还是东方承担模式</t>
  </si>
  <si>
    <t>研发费用需要明确是美国承担还是东方承担模式</t>
  </si>
  <si>
    <t>美国衡健待更新，费用要大调整。。研发费用要区分自己的还是待与东方结算的，否则费用重复</t>
  </si>
  <si>
    <t>1.01.1</t>
  </si>
  <si>
    <t>加拿大衡通</t>
  </si>
  <si>
    <t>2026年新增Animal Health产品的销售，且海外和东方基因原材料交易由美国衡健改成由加拿大衡通处理，导致销售收入增加</t>
  </si>
  <si>
    <t>工资薪金158万元，房租及物业费25.36万元，许可证费用14.75万元。26年将员工约50%工资分配到管理费用中；25年有FDA账单约8.35万元，应由美国衡健支付但计入衡通的成本，26年没有该笔费用，导致销售费用减少。</t>
  </si>
  <si>
    <t>工资薪金122万元，房租及物业费50万元，折旧费8万元。26年将员工约50%工资分配到管理费用中，导致管理费用增加。</t>
  </si>
  <si>
    <t>工资薪金206万元</t>
  </si>
  <si>
    <t>1、25年1-10月份收入696万，11-12月预估收入77万，合计773万。管理费用181万、研发费用31万、销售费用276万；亏损277万。
2、2026年预计营业收入1063万、销售费用239万、管理费用225万、研发费用213万，全年预计亏损454万。
3、26年较25年同比收入增加289万，期间费用增加188万，净利润减少177万。</t>
  </si>
  <si>
    <t>1.01.2</t>
  </si>
  <si>
    <t>加拿大衡健控股</t>
  </si>
  <si>
    <t>1.02</t>
  </si>
  <si>
    <t>南京长健</t>
  </si>
  <si>
    <t>26年体外诊断仪器较25年增加1230万</t>
  </si>
  <si>
    <t>本期新增仪器销售业务，导致毛利增加</t>
  </si>
  <si>
    <t>26年市场推广费0.4万元，样品费0.48万元，26年销售收入整体增加，导致销售费用率降低</t>
  </si>
  <si>
    <t>26年工资81万元，社保费18万元，折旧费4万，26年销售收入整体增加，导致管理费用率降低</t>
  </si>
  <si>
    <t>工资奖金284万，社保公积金38万，材料成本35万，26年销售收入整体增加，导致研发费用率降低</t>
  </si>
  <si>
    <t>1、25年1-10月收入621万，11-12月预估收入275万，合计896万（其中仪器307万、注塑
件279万和其他系列264万，贸易系列68万）。管理费用128万、研发费用291万、销售费用2万；亏损356万。
2、2026年预计营收1750万（仪器1361万，注塑件352万，集团内销售为主，详见各
板块损益表）、管理费用122万、研发费用362万，亏损87万。
3、26年较25年同比收入增加854万，期间费用增加63万，净利润增加269万。收入增长主要为仪器增长1054万元。</t>
  </si>
  <si>
    <t>仪器收入增加1000多万，基本都是销往集团内，集团内是否有这么大的仪器需求？</t>
  </si>
  <si>
    <t>税差</t>
  </si>
  <si>
    <t>1.03</t>
  </si>
  <si>
    <t>上海道格仕</t>
  </si>
  <si>
    <t>主要是新增黄懿团队内销销售目标 695万元</t>
  </si>
  <si>
    <t>人工成本440万，差旅费105万，跨境电商费用366万</t>
  </si>
  <si>
    <t>人工成本50万，折旧60万</t>
  </si>
  <si>
    <r>
      <rPr>
        <sz val="10"/>
        <color rgb="FF000000"/>
        <rFont val="微软雅黑"/>
        <charset val="134"/>
      </rPr>
      <t>1、25年1-10月收入424万，11-12月预估收入105万，全年预计收入529万；1-10月销售费用725万，11-12月销售费用163万，全年预计888万；1-10月管理费用119万，11-12月管理费用18万，全年预计147万；25年1-10月亏损621万，11-12月预估亏损121万，全年预计亏损742万。
2、2026年预计营业收入1210万、销售费用929万、管理费用126万、亏损652万。26年较25年同比收入增加682万，期间费用持平，净利润增加90万。
3、</t>
    </r>
    <r>
      <rPr>
        <b/>
        <sz val="10"/>
        <color rgb="FF000000"/>
        <rFont val="微软雅黑"/>
        <charset val="134"/>
      </rPr>
      <t>2026年</t>
    </r>
    <r>
      <rPr>
        <sz val="10"/>
        <color rgb="FF000000"/>
        <rFont val="微软雅黑"/>
        <charset val="134"/>
      </rPr>
      <t>收入增加681万，为新增黄懿团队内销销售目标 695万元，跨境电商增长70万。外销人员薪酬及费用在道格仕列支366万，实际服务于东方基因，剔除后道格仕实际亏损286万；
4、道格仕分别核算黄懿、母公司外销团队、集团内进出口、亚马逊跨境电商业务，各板块损益情况详见分板块损益表；
5、资金缺口850万，主要是日常经营活动 缺口</t>
    </r>
  </si>
  <si>
    <t>未提交经营计划</t>
  </si>
  <si>
    <t>1.04</t>
  </si>
  <si>
    <t>杭州丹威</t>
  </si>
  <si>
    <t>主要是26年传染病试剂、仪器配套试剂及毒品检测系列的产品销售带动</t>
  </si>
  <si>
    <t>主要是停工成本影响</t>
  </si>
  <si>
    <t>人工成本78万，差旅费17万，宣传费10万</t>
  </si>
  <si>
    <t>人工成本382万，长摊163万，服务费68万</t>
  </si>
  <si>
    <t>临床试验费1237万，人工成本424万，注册费199万</t>
  </si>
  <si>
    <t>1、25年1-10月份实际营业收入220万、期间费用1539万，亏损1848万；10-12月预估营业收入9万、期间费用374万、亏损458万。预计25年全年收入229万，期间费用合计1913万，亏损2306万。
2、26年预计营业收入实现887万（2026年预算为887.14万元，较2025年预计全年增长288%，增长主要来源于境外HPV等试剂销售及Genestream系列仪器)。
26年预计期间费用3192万（较25年增加1279万，费用的增加主要是研发费用增加1091万（其中临床实验费增加926万），其中研发费用2271万，管理费用795万，销售费用123万；固定费用1634万（主要为薪酬1043万，房租257万，折摊336万）。
3、本期预估良渚场地装修预算715万.
4、资金缺口3400万。装修支出630万，经营活动净流出2751万。
提请关注：取得注册证的三款产品（HBV、新冠甲乙流、HPV），26年销售目标含税50万</t>
  </si>
  <si>
    <t>取得注册证的三款产品（HBV、新冠甲乙流、HPV），26年销售目标含税50万</t>
  </si>
  <si>
    <t>1.05</t>
  </si>
  <si>
    <t>杭州万子健</t>
  </si>
  <si>
    <t>（1）段肖肖业务电商板块266万
（2）与梦（药店寄售）板块45万
（3）渠道板块361万
（4)钱萍萍上药板块132.70万
（5)詹耀宠物业务线123.86万
（6)内部人力借调173.76万</t>
  </si>
  <si>
    <t>费用主要构成：电商板块平台:投流推广费用&amp;平台扣点；渠道、与梦、宠物板块：前期铺货的样品费用；上药板块：按照回款金额20%的支付的佣金费用；剩余为固定的销售人员薪资。
国内电商平台费用105万，人工成本51万，佣金15万</t>
  </si>
  <si>
    <t>折旧费22万</t>
  </si>
  <si>
    <t>分业务板块1-10月情况详见右图：
1、25年1-10月段肖肖业务收入485万，毛利98万，费用207万，亏损109万。11-12月预估收入241万，毛利39万。
25年1-10月钱萍萍安徽省中医院业务收入69万，毛利26万，费用64万，亏损38万。11-12月预估收入18万，毛利2万。
2、26年段肖肖业务收入672万，毛利195万。
钱萍萍安徽省中医院业务收入133万，毛利53万，佣金15万，业务利润38万（未考虑其人工成本，房租及其他费用）
詹耀宠物业务收入124万，毛利12万；
3、资金缺口100万
提请关注：
寄售业务;
仓库管理方面，销售业务员同时负责了系统出入库操作，系统出入库与实物管理仍存在脱节导致盘点差异</t>
  </si>
  <si>
    <r>
      <rPr>
        <sz val="10"/>
        <color rgb="FF000000"/>
        <rFont val="微软雅黑"/>
        <charset val="134"/>
      </rPr>
      <t>1、杭万目前主要核算三个销售人员的业务，段肖肖、钱萍萍、詹耀
2、寄售业务;
3、</t>
    </r>
    <r>
      <rPr>
        <sz val="10"/>
        <color rgb="FFFF0000"/>
        <rFont val="微软雅黑"/>
        <charset val="134"/>
      </rPr>
      <t>仓库管理方面，销售业务员同时负责了系统出入库操作，系统出入库与实物管理仍存在脱节导致盘点差异</t>
    </r>
  </si>
  <si>
    <t>📄杭州万子健各板块销售明细2025年</t>
  </si>
  <si>
    <t>段：5100</t>
  </si>
  <si>
    <t>1.06</t>
  </si>
  <si>
    <t>杭州深度</t>
  </si>
  <si>
    <t>集团内外试剂产品及集团内设备产品的销售预期提升</t>
  </si>
  <si>
    <t>人力薪酬支出185万，差旅费78万，展会费30万</t>
  </si>
  <si>
    <t>人工成本180万，长摊86万，房租及物业39万</t>
  </si>
  <si>
    <t>人工成本866万，研发领料324万，房租物业费78万</t>
  </si>
  <si>
    <r>
      <rPr>
        <b/>
        <sz val="10"/>
        <color rgb="FF000000"/>
        <rFont val="微软雅黑"/>
        <charset val="134"/>
      </rPr>
      <t>1、</t>
    </r>
    <r>
      <rPr>
        <sz val="10"/>
        <color rgb="FF000000"/>
        <rFont val="微软雅黑"/>
        <charset val="134"/>
      </rPr>
      <t>25年1-10月收入180万，成本336万，期间费用555万（销售费用158万、管理费用164万、研发费用233万），亏损707万。11-12月预计收入0，费用94万。全年预计亏损802万。</t>
    </r>
    <r>
      <rPr>
        <b/>
        <sz val="10"/>
        <color rgb="FF000000"/>
        <rFont val="微软雅黑"/>
        <charset val="134"/>
      </rPr>
      <t xml:space="preserve">
2、26年收入预算：</t>
    </r>
    <r>
      <rPr>
        <sz val="10"/>
        <color rgb="FF000000"/>
        <rFont val="微软雅黑"/>
        <charset val="134"/>
      </rPr>
      <t xml:space="preserve">1、集团内收入：
（1）试剂产品收入：331万（主要是过敏原、微流控生化试剂）
（2）设备产品收入：826万（主要是流式M120、研磨仪、FAS-2000、微流控生化仪）
      2、集团外收入：
（1）试剂产品收入：354万（主要是过敏原存量及意向客户）
收入合计：331+826+354=1511万
</t>
    </r>
    <r>
      <rPr>
        <b/>
        <sz val="10"/>
        <color rgb="FF000000"/>
        <rFont val="微软雅黑"/>
        <charset val="134"/>
      </rPr>
      <t>26年成本预算</t>
    </r>
    <r>
      <rPr>
        <sz val="10"/>
        <color rgb="FF000000"/>
        <rFont val="微软雅黑"/>
        <charset val="134"/>
      </rPr>
      <t xml:space="preserve">：
1、产品销售成本：
（1）试剂产品成本：285万（根据预算的材料成本、制造费用，参考历年的人工占比以及毛利率35.51%）
（2）设备产品成本：721万 （毛利率13%）
（3）停工成本：102万（预计试剂产量不饱和）
成本合计：285+721+102=1107万
2026年整个公司的成本费用预算3219万，其中1107万进成本，剩余2111万进费用（其中销售费用329万，管理费用373万，研发费用1409万），全年预计亏损1706万。
</t>
    </r>
    <r>
      <rPr>
        <b/>
        <sz val="10"/>
        <color rgb="FF000000"/>
        <rFont val="微软雅黑"/>
        <charset val="134"/>
      </rPr>
      <t>3、资金缺口2200万，投资活动净流出929万，含装修预算775万，生产设备采购152万。经营活动净流出1296万。</t>
    </r>
  </si>
  <si>
    <t>1.07</t>
  </si>
  <si>
    <t>青岛汉德森</t>
  </si>
  <si>
    <t>集团内生物原料销售与25年基本持平，集团外增加136万。</t>
  </si>
  <si>
    <t>26年集团内毛利率为定额5%，集团外按照59%的毛利率预估</t>
  </si>
  <si>
    <t>工资169万，差旅费20万，业务招待费费11万。销售费用合计减少44万，销售费用降低，收入增加，故销售费用率降低</t>
  </si>
  <si>
    <t>工资151万，房租物业39万，水电33万。管理费用总体增加51万，主要为装修摊销增加15万（U谷装修），水电费增加30万（暂时无法区分生产用水电，一并预估）</t>
  </si>
  <si>
    <t>工资128万，委外研发203万，折旧摊销55万。</t>
  </si>
  <si>
    <t>1、25年1-10月份实际营收2130万，期间费用984万，亏损338万。11-12月预估营收470万、期间费用309万，亏损183万。
2、预计26年营业收入2743万（较25年增加144万），集团内1770万，集团外973万，其中集团外增加137万，26年预计期间费用1026万（较25年减少267万，主要是研发费用减少277万），26年预计亏损382万（较25年减少亏损138万)。
3、亏损主要因素：预计26年实现毛利661万，无法覆盖期间费用总额1026万。（固定成本费用构成：固定人员薪酬409万，房租49万，折旧费57万）
4、预计26年全年无重大投资活动，无资金缺口。</t>
  </si>
  <si>
    <t>1.08</t>
  </si>
  <si>
    <t>湖州伟乐</t>
  </si>
  <si>
    <t>集团内部收入占比高达96%，收入的增长主要为对母公司的销售预期增长。</t>
  </si>
  <si>
    <t>集团内：2026年原料注塑件产品系列毛利率约34.84%，与2025年度基本持平。</t>
  </si>
  <si>
    <t>2026年度销售费用主要是工资15.64万元，展会费7.7万元，25年开始慢慢开发新客户，26年销售部门工资单独核算，销售费用工资有增加</t>
  </si>
  <si>
    <t>2026年度管理费用工资社保89.69万元，</t>
  </si>
  <si>
    <t>研发费用主要构成是工资社保折旧和原材料，其中人力成本约50万元，材料成本75万元。</t>
  </si>
  <si>
    <t>1、25年1-10月份实际营业收入2056万，净利润506万，预计2025年全年净利润519万元。
2、预计2026年产品毛利率与2025年基本持平，净利润442万元。
3、预计2026年全年无重大投资活动，无资金缺口。
4、集团内收入仍然占营业收入的绝大部分。
5、由于东方基因转为银行承兑汇票结算货款，预期2026年度财务费用-承兑汇票贴息会有一定的增长。</t>
  </si>
  <si>
    <t>1.09</t>
  </si>
  <si>
    <t>上海万子健实验室</t>
  </si>
  <si>
    <t>收入同比下降42%，主因是海南共建项目退出导致收入大幅减少</t>
  </si>
  <si>
    <t>产品结构不同，本期低毛利的贸易业务大幅减少，导致毛利率上升</t>
  </si>
  <si>
    <t>人工成本321万，亚马逊电商平台费用94万，招待费31万</t>
  </si>
  <si>
    <t>人工成本445万，折摊521万，房租118万</t>
  </si>
  <si>
    <t>人工成本57万，折摊102万</t>
  </si>
  <si>
    <t>1.25年1-10月份实际营业收入2097万，期间费用1913万，亏损1581万。预计25年全年收入2258万，毛利额351万，期间费用合计2265万，亏损1906万(含亚马逊亏损31万)。详见分板块
（截止11月末，贸易业务收入 1558万，利润126 万，毛利率7%，客户海南西部中心医院应收金额500万，太元生物应收余额1125万，国药器械应收余额54.7万）
2、26年营业收入预计1305万, 整体同比25年减少952万, 主因海南贸易业务交易停止、检测服务收入同比25年增加345万，涨幅64%；26年预计期间费用1912万，同比25年减少354万；26年预计亏损1332万(含亚马逊亏损20万，大行政人力费用142万)，同比25年亏损减少574万.   其中检测类业务收入 887 万，毛利额 384万，共建收入265万，毛利额122万.
3、亏损的主要原因是：26年预计实现毛利额580万，期间费用1912万, 固定费用1584万，其中:人力费用843万，折旧/摊销623万，房租物业118万.
4、预计26年海南项目回款696万，在不归还集团借款的情况下，预计还有400万资金缺口；
提请关注：1、徐州儿童医院项目合同2025年1月签订合同，2025年3月开始陆陆续续开始投入，目前总投入426万，其中累计设备投入387万（其中新采购设备192万，原实验室设备195万搬至徐州儿童医院）、实验室改造5万营销费用及其他支出34万；2025年11月形成第一笔收入0.9万。26年预估收入207万；
2、未来贸易业务收入如果超过50%，将不能研发加计扣除</t>
  </si>
  <si>
    <t>1、徐州儿童医院项目合同2025年1月签订合同，2025年3月开始陆陆续续开始投入，目前总投入426万，其中累计设备投入387万（其中新采购设备192万，原实验室设备195万搬至徐州儿童医院）、实验室改造5万营销费用及其他支出34万；2025年11月形成第一笔收入0.9万。26年预估收入207万
2、未来贸易业务收入如果超过50%，将不能研发加计扣除</t>
  </si>
  <si>
    <t>详见分板块业务情况</t>
  </si>
  <si>
    <t>不一致</t>
  </si>
  <si>
    <t>1.10</t>
  </si>
  <si>
    <t>深圳衡康</t>
  </si>
  <si>
    <t>本期新增内销医美业务</t>
  </si>
  <si>
    <t>26年国内电商医美板块预算毛利率为86.9%，跨境电商板块预算毛利率为88.13%</t>
  </si>
  <si>
    <t>25年前三项目为电商费用_平台配送费（跨境）653.95万元，电商费用_广告费（跨境）575.01万元，电商费用_平台佣金（跨境）176.66万元；26年前三项目为电商费用_平台推广服务费（境内）700万元，电商费用_平台配送费（跨境）646万元，电商费用_广告费（跨境）565万元</t>
  </si>
  <si>
    <t>25年前三项目为折旧费 169.43万元 ，工资 65.08万元， 房租及物业费 26.01 万元；26年前三项目为折旧费 169.92 万元， 工资67.60 万元，房租及物业费 29.40 万元，管理费用率变动较大原因为26年新增国内电商板块3539.82万元，导致26年管理费用率较25年低</t>
  </si>
  <si>
    <r>
      <t>1、25年1-10月收入1780万，11-12月预估收入360万，合计2140万。其中早孕检测试纸1202万、排卵检测509万和毒品检测105万，UTI系列23万</t>
    </r>
    <r>
      <rPr>
        <sz val="10"/>
        <color rgb="FF000000"/>
        <rFont val="Times New Roman"/>
        <charset val="134"/>
      </rPr>
      <t>​</t>
    </r>
    <r>
      <rPr>
        <sz val="10"/>
        <color rgb="FF000000"/>
        <rFont val="微软雅黑"/>
        <charset val="134"/>
      </rPr>
      <t>占比较小。期间费用（销售费用1727万、管理费用332万）；亏损437万。
2、2026年预计营业收入5577万、2026年预算收入总额大幅提升，主要是新增国内电商医美系列3500万元。期间费用4437万，其中销售费用4086万、管理费用349万。净利润270万（盈利的主要原因是新增国内电商业务预计实现业务利润976万）。
3、26年分业务线看跨境电商收入1844万，成本费用2007万，亏损164万。国内电商业务3540万，成本费用2580万，净利润960万。其他东方外销团队费用545万
4、资金缺口850万；
提请关注：1、26年预测盈利主要是国内电商-医美系列贡献960万；
2、医美护肤品毛利率高达85%-90%原因？</t>
    </r>
  </si>
  <si>
    <t>1.11</t>
  </si>
  <si>
    <t>上海万子健生物</t>
  </si>
  <si>
    <t>收入增长主要由集团外人医类检测试剂盒和宠物产品系列驱动</t>
  </si>
  <si>
    <t>/</t>
  </si>
  <si>
    <t>人工成本120万，差旅费22万，折旧费22万</t>
  </si>
  <si>
    <t>人工成本150万，长摊267万，房租物业194万</t>
  </si>
  <si>
    <t>人工成本996万，材料费318万，折摊81万</t>
  </si>
  <si>
    <t>公司存在1,750万元资金缺口，依赖母公司输血填补，自身造血能力缺失，短期偿债无安排。</t>
  </si>
  <si>
    <r>
      <rPr>
        <sz val="10"/>
        <color rgb="FF000000"/>
        <rFont val="微软雅黑"/>
        <charset val="134"/>
      </rPr>
      <t>1、25年营收943万元（1-10月实际814万元，11-12月预估129万元）。期间费用合计2,559万元（销售69万、管理1,293万、研发1,199万），亏损2,183万元。剔除物业收入833万，和闲置折旧，净利润影响-196万，主营收入5.7万，净利润-1804万
2、2026年预计营业收入1,300万，期间费用合计3,064万（销售176万、管理1,270万、研发1,620万），亏损2,795万。剔除物业收入761万，和闲置折旧，净利润影响-395万，主营收入505万，净利润-2400万
3、</t>
    </r>
    <r>
      <rPr>
        <b/>
        <sz val="10"/>
        <color rgb="FF000000"/>
        <rFont val="微软雅黑"/>
        <charset val="134"/>
      </rPr>
      <t>各板块损益情况详见分板块损益表。</t>
    </r>
    <r>
      <rPr>
        <sz val="10"/>
        <color rgb="FF000000"/>
        <rFont val="微软雅黑"/>
        <charset val="134"/>
      </rPr>
      <t xml:space="preserve">
提请关注：1、公司存在1,750万元资金缺口；
2、业务毛利率低
人医部分检测试剂盒：毛利率 0.95%
宠物类试剂盒：毛利率 4.76%；
3、房屋租金收入761万，房租收入占比高，未来将无法研发加计扣除</t>
    </r>
  </si>
  <si>
    <t>400万人民币
60万美元</t>
  </si>
  <si>
    <t>1.12</t>
  </si>
  <si>
    <t>浙江伟达</t>
  </si>
  <si>
    <t>26年管理费用-折旧费736.68万元，为房产转固折旧费</t>
  </si>
  <si>
    <t>1、预计转固年折旧额737万；
2、资金缺口5777万元</t>
  </si>
  <si>
    <t>1.13</t>
  </si>
  <si>
    <t>杭州衡方</t>
  </si>
  <si>
    <t>26年预估园区出租收入</t>
  </si>
  <si>
    <t>佣金158万(中介费），展会费60万，宣传费40万</t>
  </si>
  <si>
    <t>折摊915万，水电费92万</t>
  </si>
  <si>
    <t>1、预计良渚办公楼年折旧额712万
2、26年资金需求1.3亿</t>
  </si>
  <si>
    <t>1.14</t>
  </si>
  <si>
    <t>北京汉同</t>
  </si>
  <si>
    <t>业务关停，需做后续收尾工作</t>
  </si>
  <si>
    <t>汉同设备处置，是否考虑卖给关联方或对外出售</t>
  </si>
  <si>
    <t>1.15</t>
  </si>
  <si>
    <t>北京首医</t>
  </si>
  <si>
    <t>26年原酶业务停止，收入主要为外购试剂贸易26万，人力借调60万。</t>
  </si>
  <si>
    <t>25年因原酶业务毛利较低，26年停止原酶业务，试剂类业务毛利在30%左右，但整体收入基数小，人力借调拉低了毛利。</t>
  </si>
  <si>
    <t>工资17万，推广费6万，会议费2万。销售费用较25年下降1万，26年收入较25年下降较多，故销售费用率上升。</t>
  </si>
  <si>
    <t>工资82万，折旧摊销55万，水电5万。管理费用较25年下降110万，管理费用的下降比列低于销售收入的下降比列，故管理费用率上浮。</t>
  </si>
  <si>
    <t>1、2025年1-10月实际营业收入218万元，11-12月预估收入19万元，全年合计营业收入 237万元。2025 年期间费用合计560万元，其中销售费用28万元、管理费用260万元、研发费用14万元，全年净亏损 425万元。
2、2026 年预计营业收入105万元，期间费用合计 204万元，预计净亏损166万元。
3、收入整体下滑主要因原酶业务 2026 年停止，而新增业务收入未能完全覆盖缺口。</t>
  </si>
  <si>
    <t>1.16</t>
  </si>
  <si>
    <t>海南启康</t>
  </si>
  <si>
    <t>持股平台，本期预估支付800万股权增资款</t>
  </si>
  <si>
    <t>1.17</t>
  </si>
  <si>
    <t>海南万子健实验室</t>
  </si>
  <si>
    <t>人工成本20万，业务招待5万</t>
  </si>
  <si>
    <t>人工成本110万，</t>
  </si>
  <si>
    <t>1、26年未做装修预算，费用主要是管理人工成本114万，销售人工20万，房租10万，招待费10万，折摊51万
2、资金缺口3300万，主要是支付工程款</t>
  </si>
  <si>
    <t>项目已处于验收阶段，需明确下一步业务规划</t>
  </si>
  <si>
    <t>1.18</t>
  </si>
  <si>
    <t>绍兴金箓</t>
  </si>
  <si>
    <t>销售渠道扩展，公司各类试剂销量增加</t>
  </si>
  <si>
    <t>销量增加，分摊的固定成本降低，毛利提高</t>
  </si>
  <si>
    <t>服务费4万元、广告费1.2万元，样品费60万元</t>
  </si>
  <si>
    <t>工资及社保170.16万元、折旧费32.51万、租金及物业费17.76万元</t>
  </si>
  <si>
    <t>1、25年1-10月份实际营业收入154万，期间费用269万，亏损252万，10-12月预估收入47万，期间费用70万，亏损65万。预计25年全年收入201万，毛利额21万，期间费用合计339万，亏损318万。
2、26年营业收入预计265万（较25年增加金额65万）；26年预计期间费用345万（较25年增加5万）；26年预计亏损292万（较24年亏损减少27万)。
3、亏损增加的主要原因是：公司收入规模小，仅265万的收入规模，毛利额54万，但期间费用345万。
4、资金缺口300万</t>
  </si>
  <si>
    <t>1.19</t>
  </si>
  <si>
    <t>上海万子健检测</t>
  </si>
  <si>
    <t>2026年业务目标增长</t>
  </si>
  <si>
    <t>业务招待费127万，佣金40万，人工成本11万</t>
  </si>
  <si>
    <t>折摊743万，人工成本409万，房租物业71万</t>
  </si>
  <si>
    <t>详见各板块损益情况详见分板块损益表。1、25年营收853万元（1-10月实际719万，11-12月预估134万），毛利额422万。期间费用合计1381万元（销售135万、管理1,246万【折旧703万】、研发49万），亏损1115万。剔除物业和闲置折旧后，主业收入409万，净利润-408万
2、26年预计营收1186.5万，毛利额622.77万，毛利率52.5%。期间费用合计1678.51万（销售196万、管理1,483万【折旧667万】），亏损1170.35万。剔除物业和闲置折旧后，主业收入800万，净利润-291万
4、资金缺口180万</t>
  </si>
  <si>
    <t>1.20</t>
  </si>
  <si>
    <t>南京长瑞</t>
  </si>
  <si>
    <t>26年新增仪器产品业务1637万</t>
  </si>
  <si>
    <t>26年新增仪器产品业务1637万，导致毛利率增加</t>
  </si>
  <si>
    <t>26无预测销售费用</t>
  </si>
  <si>
    <t>26年折旧费1032万，服务费58万，工资56万，主要为房产转固后的折旧费增加</t>
  </si>
  <si>
    <t>26年工资及奖金85万，材料成本66万，检测费44万，主要为材料成本上升</t>
  </si>
  <si>
    <t>各业务板块损益情况详见各板块损益表。剔除房屋折旧及租赁后，25年收入20万，净利润2.5万。26年预估仪器收入1450万，试剂收入177万，净利润-474万
注意：资金缺口4000万，主要基建相关
新增仪器产品业务，未预测相关销售费用</t>
  </si>
  <si>
    <t>1.21</t>
  </si>
  <si>
    <t>爱可生物</t>
  </si>
  <si>
    <t>CD4系列产品增长约468万元，非CD4类系列产品收入增长约2659万元。</t>
  </si>
  <si>
    <t>产品毛利率无明显差异</t>
  </si>
  <si>
    <t>人力成本198万元，佣金264万元，咨询费201万元。</t>
  </si>
  <si>
    <t>人力成本1565万元，折旧费472万元，物业水电燃气维修等费用112万元</t>
  </si>
  <si>
    <t>人力成本约102万元</t>
  </si>
  <si>
    <t>预计向美国衡健借款</t>
  </si>
  <si>
    <t>1、25年1-10月收入4338万，11-12月预估收入554万，合计4892万。管理费用3133万、研发费用30万、销售费用838万；预计亏损2535万。
2、2026年预计营业收入8730万、销售费用936万，管理费用2709万、研发费用111万（，全年预计亏损700万。
3、26年较25年同比收入增加3838万，净利润增加1835万。</t>
  </si>
  <si>
    <t>1.22</t>
  </si>
  <si>
    <t>青岛灏德森</t>
  </si>
  <si>
    <t>26年房产出租给汉德森收入</t>
  </si>
  <si>
    <t>装修摊销22万，房屋折旧75万</t>
  </si>
  <si>
    <t>1、25年1-10年收入0万，期间费用106万（主要是办公楼的折旧费89万，装修摊销17万），亏损110万，全年预计亏损128万。
2、26年租金收入39万（出租给汉德森），管理费用97万，亏损66万。
青岛26年入驻新厂房</t>
  </si>
  <si>
    <t>1.23</t>
  </si>
  <si>
    <t>北京研究院</t>
  </si>
  <si>
    <t>收入全部为人力借调</t>
  </si>
  <si>
    <t>办公室0.6万，折旧0.6万，管理费用下降81万，其中员工全部借调到母公司，26年无薪酬支出，房屋退租后无租金。</t>
  </si>
  <si>
    <t>材料成本103万，其他费用60万，2026年宠物研发部研发费用及日常办公费由总部直接负担，不产生损益。</t>
  </si>
  <si>
    <t>1、成本中心，目前只有研发职能。
2、宠物研发部预计支出：162万元（研发领料103万，房租水电56万），实际由东方基因承担
3、资金缺口100万</t>
  </si>
  <si>
    <t>1.24</t>
  </si>
  <si>
    <t>北京万子健检测</t>
  </si>
  <si>
    <t>26年原有功能科室开发新客户，新增加精神病鉴定科室</t>
  </si>
  <si>
    <t>25年成本包含首汇房屋摊销及人工，26年预算成本仅包含人工</t>
  </si>
  <si>
    <t>业务招待费13万、差旅费2万。销售费率下降主要为销售费用增幅低于收入增幅。</t>
  </si>
  <si>
    <t>工资116万，房租及物业73万，服务费29万。费用下降，收入增加，管理费用率降低</t>
  </si>
  <si>
    <t>存在资金缺口，预计2026年2-10月陆续需要集团投资款300万</t>
  </si>
  <si>
    <t>1、25年1-10月份实际营业收入93万，期间费用394万，亏损473万，11-12月预估收入36万、期间费用53万、亏损71万。预计25年全年收入129万，毛利-128万，期间费用合计448万，亏损545万。
2、2026年预计营业收入809万、期间费用369万、预计盈利2万。
3、26年收入构成主要为司法鉴定业务，文痕科室210万、交通科室217万、电子数据科室130万、法医临床科室211万、法医精神病科室90万；2026年较2025年收入增加680.31万
4、预估收入规模从129万增长到809万，同比增长超500%
5、资金缺口300万。</t>
  </si>
  <si>
    <t>1.25</t>
  </si>
  <si>
    <t>成都东方基因</t>
  </si>
  <si>
    <t>新增动物疫苗、仪器设备、房产租赁业务</t>
  </si>
  <si>
    <t>25年的销售主要依赖于内部关联交易，而外部销售则主要集中在部分疫苗产品，毛利率为15%。由于生产人员及设备的固定成本已计入成本，但未有相应销售，导致25年的毛利率下降至-4.4%。26年公司新设疫苗部门，年度销售任务为1300万，预计毛利率为25%；仪器及试剂销售目标为300万，预计毛利率同样为25%。此外，预计新增租赁业务收入206万，预计毛利率为72%。</t>
  </si>
  <si>
    <t>1、人工类费用：26年人工类费用为124万元，较25年的38万元增加了86万元。销售人员数量较25年增加了2人（其中25年11月无销售人员，疫苗部人工费用为84万元/年），且平均工资较25年有所提升。
2、差旅费：26年差旅费为41万元，较25年的7万元（11-12月疫苗部预计出差费用）增加了34万元。25年销售部门基本无差旅活动（除人员出差至总部及国外），而26年疫苗部每人每天的差旅费用为700元，每月出差12天；招商部年度差旅费用为1万元。
3、佣金费用： 26年佣金费用为24万元，25年无佣金费用。26年的佣金费用主要用于招商部的招商活动。</t>
  </si>
  <si>
    <t>1、折旧费用： 26年折旧费用为407万元，较25年的13万元增加了394万元，主要原因是26年在建工程转为房屋固定资产所致。
2、人工费用： 26年人工费用为87万元，较25年的105万元减少了18万元。26年部分人员的管理费用调整至销售费用，金额为17万元，整体波动不大。
3、无形资产摊销：26年摊销费用为95万元，与25年相比无变动。</t>
  </si>
  <si>
    <t>1、人工类费用：26年人工类费用为11万元，较25年的2万元增加了9万元，主要原因是自主研发项目立项，预计研发时间为25年12月至26年6月。
2、研发材料费用：26年研发材料费用为3万元，较25年的0.5万元增加了2.5万元，同样是由于自主研发项目立项，预计研发时间为25年12月至26年6月。</t>
  </si>
  <si>
    <t>1、25年1-10月收入21万，11-12月预估收入46万，合计67万。期间费用（销售费用63万、管理费用326万）；亏损423万。
2、2026年预计营业收入1789万、期间费用（销售费用238万、管理费用613万，亏损576万，26年营业收入较25年增加1722万；26年预计期间费用较25年增加474万；26年预计净利润较25年减少153万。
3、2025年收入总额67万，主要来源于宠物产品35万。2026年预算收入总额大幅提升，主要是动物疫苗增长1300万元，仪器设备增长210万，房屋租赁207万。
4、26年资金缺口16194万元（其中预计取得工商银行融资融资15774万元，母公司420万元）</t>
  </si>
  <si>
    <t>1.26</t>
  </si>
  <si>
    <t>上海衡方</t>
  </si>
  <si>
    <t>1.27</t>
  </si>
  <si>
    <t>浙江明升</t>
  </si>
  <si>
    <t>1、25年1-10月收入393万，11-12月预估收入76万，合计469万，亏损13万。
2、2026年预计营业收入449万，费用主要是水电费
3、2025年收入总额469万，主要来源于房租及物业</t>
  </si>
  <si>
    <t>1.29</t>
  </si>
  <si>
    <t>山东万子健生物</t>
  </si>
  <si>
    <t>人工成本39万元，差旅6万元，招待费10万元</t>
  </si>
  <si>
    <t>主要是人工成本9万</t>
  </si>
  <si>
    <t>成本中心，目前职能是清理核酸检测业务形成的应收账款，但25年零回款。
1、25年销售费用102万（人工38万，样品费49万，差旅费13万）；管理费用10万（人工成本9万）。
2、26年销售费用57万（人工38万，业务招待12万，差旅费6万）；管理费用10万（人工成本9万）。</t>
  </si>
  <si>
    <t>1.30</t>
  </si>
  <si>
    <t>上海安泰吉</t>
  </si>
  <si>
    <t>无业务，休眠状态</t>
  </si>
  <si>
    <t>1.31</t>
  </si>
  <si>
    <t>北京新兴四寰</t>
  </si>
  <si>
    <t>扩大市场、新品销售；肺炎支原体预计增加1000万、甲乙流增加470万、幽门螺旋杆菌增加380万</t>
  </si>
  <si>
    <t>以25年毛利为参照，26年按照毛利为51%来倒算成本</t>
  </si>
  <si>
    <t>薪酬878万，差旅费188万，服务费120万。销售费用较25年增加95万，销售费率下降主要为销售费用增幅低于收入增幅。</t>
  </si>
  <si>
    <t>注册费800万（产品效期变更），工资278万，使用权资产折旧51万。管理费用预计增加381万（注册费增加301万，水电费增加41万，工资增加49万）。管理费用的增长比列低于销售收入的增长，故管理费用率降低。</t>
  </si>
  <si>
    <t>薪酬313万，临床实验伦理审查603万，折旧25万。主要变动为薪酬增加34万，临床实验伦理审查增加437万。</t>
  </si>
  <si>
    <r>
      <rPr>
        <sz val="10"/>
        <color rgb="FF000000"/>
        <rFont val="微软雅黑"/>
        <charset val="134"/>
      </rPr>
      <t>1、25年预计营收6010万（1-10月4,592万，11-12月1,418万），毛利3,109万，期间费用2,776万（销售1300万、管理930万、研发600万），</t>
    </r>
    <r>
      <rPr>
        <b/>
        <sz val="10"/>
        <color rgb="FF000000"/>
        <rFont val="微软雅黑"/>
        <charset val="134"/>
      </rPr>
      <t>盈利313万</t>
    </r>
    <r>
      <rPr>
        <sz val="10"/>
        <color rgb="FF000000"/>
        <rFont val="微软雅黑"/>
        <charset val="134"/>
      </rPr>
      <t>。
2、26年预计营收9,305万（较25年增加3,294万），均为检测试剂盒产品收入，26年预计期间费用3,689万（较25年增加913万,管理费用增加380万，研发费用增加420万），</t>
    </r>
    <r>
      <rPr>
        <b/>
        <sz val="10"/>
        <color rgb="FF000000"/>
        <rFont val="微软雅黑"/>
        <charset val="134"/>
      </rPr>
      <t>26年预计盈利867万（较25年增加554万)</t>
    </r>
    <r>
      <rPr>
        <sz val="10"/>
        <color rgb="FF000000"/>
        <rFont val="微软雅黑"/>
        <charset val="134"/>
      </rPr>
      <t>。
3、盈利主要因素：预计26年营收9,305万，预计实现毛利4,739万(毛利率按51%算)，能覆盖期间费用总额3689万。（固定成本费用构成：固定人员薪酬1701万，房租42万，折旧费26万）</t>
    </r>
  </si>
  <si>
    <t>1.33</t>
  </si>
  <si>
    <t>北京博朗生</t>
  </si>
  <si>
    <t>营收净增约108 万元，主要在：一是设备收入因 2025 年未交付订单结转至 2026 年，贡献 43 万元；二是技术服务收入由负转正，净增 51 万元，原因是 2025 年终止合同一次性冲回拉低基数。试剂业务保持低个位数自然增长</t>
  </si>
  <si>
    <t>毛利改善几乎全部由设备和服务拉动。26年设备毛利率从 21.1% 升至 37.2%，25年由于NGS项目销售额大，毛利较低，拉低25年设备毛利；技术服务因 26年仅需投入人工成本，毛利率由负转正高达 94%。试剂毛利率仅微降 1.5 个百分点</t>
  </si>
  <si>
    <t>薪酬190 万元、房租 34万元、折旧18万元，搬迁后房租一次性节约 32 万元。
销售费用下降46万，收入上涨，故销售费用率下降。</t>
  </si>
  <si>
    <t>薪酬66万元、长摊 4.6 万元、水电办公杂费约4万元。
管理费用较25年降低32万，主要系房租减少22万元、人员精简导致薪酬减少 5.5万元</t>
  </si>
  <si>
    <t>存在，预计2026年1月份需要集团投资款100万</t>
  </si>
  <si>
    <r>
      <t>1、25年预计营收731万（1-10月420万、11-12月预计311万），毛利243万，毛利率33%。期间费用合计432万，亏损169万。
2、26年预计营收843万（自有产品销售564万，其他贸易业务242万），预计毛利373万，毛利率44%。预计期间费用349万，</t>
    </r>
    <r>
      <rPr>
        <b/>
        <sz val="10"/>
        <color rgb="FF000000"/>
        <rFont val="微软雅黑"/>
        <charset val="134"/>
      </rPr>
      <t>26年预计盈利22万</t>
    </r>
    <r>
      <rPr>
        <sz val="10"/>
        <color rgb="FF000000"/>
        <rFont val="微软雅黑"/>
        <charset val="134"/>
      </rPr>
      <t>（较25年减少亏损额191万)。
3、盈利的主要原因是：1）收入规模扩大，增加112万；2）毛利率上升11个百分点；3）期间费用减少84万。</t>
    </r>
  </si>
  <si>
    <t>不匹配</t>
  </si>
  <si>
    <t>1.34</t>
  </si>
  <si>
    <t>上海万山水</t>
  </si>
  <si>
    <t>土地摊销597万</t>
  </si>
  <si>
    <t>存在资金缺口，具体需参考工程预算</t>
  </si>
  <si>
    <t>26年亏损600万，主要是土地摊销597万</t>
  </si>
  <si>
    <t>1.36</t>
  </si>
  <si>
    <t>上海罗凯工程</t>
  </si>
  <si>
    <t>折摊487万</t>
  </si>
  <si>
    <t>1、25年亏损590万，折摊487万，房产土地税100万。
2、26年预计亏损597万，折摊487万，房产土地税100万。
3、需要支付房土两税，资金缺口115万
4、闲置资产，每年固定折摊487万，房土两税100万</t>
  </si>
  <si>
    <t>1.37</t>
  </si>
  <si>
    <t>哈尔滨东方基因</t>
  </si>
  <si>
    <t>薪酬8.5万、差旅费2.4万</t>
  </si>
  <si>
    <t>薪酬123万、折旧和摊销费用65万、房屋租赁费41万。</t>
  </si>
  <si>
    <t>临床费116万、注册费13万、材料费18万</t>
  </si>
  <si>
    <r>
      <t>目前未开展生产经营，厂房闲置，目前由集团研发注册团队主导，公司进行样品生产和辅助资料准备，已取得注册证的27个品未实现转产：其他详见分版块业务
1、25年收入0，</t>
    </r>
    <r>
      <rPr>
        <b/>
        <sz val="10"/>
        <color rgb="FF000000"/>
        <rFont val="微软雅黑"/>
        <charset val="134"/>
      </rPr>
      <t>停工成本306万</t>
    </r>
    <r>
      <rPr>
        <sz val="10"/>
        <color rgb="FF000000"/>
        <rFont val="微软雅黑"/>
        <charset val="134"/>
      </rPr>
      <t>（房租93万、车间筹建摊销55万、供暖能耗40万、薪酬福利40万、折旧42万），期间费用394万（销售18万，管理303万，研发73万（其中材料成本19万、临床试验及伦理审查费24万、注册费23万）），亏损700万。
2、26年年收入0，</t>
    </r>
    <r>
      <rPr>
        <b/>
        <sz val="10"/>
        <color rgb="FF000000"/>
        <rFont val="微软雅黑"/>
        <charset val="134"/>
      </rPr>
      <t>停工成本314万</t>
    </r>
    <r>
      <rPr>
        <sz val="10"/>
        <color rgb="FF000000"/>
        <rFont val="微软雅黑"/>
        <charset val="134"/>
      </rPr>
      <t>，期间费用417万（销售12万，管理252万，研发154万（其中材料成本18万、临床试验及伦理审查费116万、注册费13万）），亏损732万。</t>
    </r>
  </si>
  <si>
    <t xml:space="preserve">
哈尔滨除了注册职能外，其他职能需明确定位。目前仅依靠零星贸易业务。</t>
  </si>
  <si>
    <t>1.38</t>
  </si>
  <si>
    <t>哈尔滨万子健生物</t>
  </si>
  <si>
    <t>根据26年业务目标规划</t>
  </si>
  <si>
    <t>薪酬16万、销售服务费15万（与本期持平）、招投标服务费8万</t>
  </si>
  <si>
    <t>薪酬23万、房屋和车辆租赁21万。</t>
  </si>
  <si>
    <t>存在，26年需集团陆续投入300万元</t>
  </si>
  <si>
    <t>贸易公司，目前的业务是参与哈尔滨当地医院的医疗设备的招投标，产品不是集团自有产品，均需向外部供应商采购。
1、25年预计营收152万元（1-10月87万，11-12月65万），毛利52万，毛利率34%。期间费用100万，预计亏损48万。
2、26年预计营收354万元，预计毛利率22%。预计期间费用90万元，其中销售费用42万（薪酬16万、售后服务费15万、招投标服务费8万），管理费用48万（房租物业21万，工资23万），预计亏损13万。
3、26年营收增加200万，但毛利率下降12个点，期间费用基本持平，预计亏损较25年减少24万。</t>
  </si>
  <si>
    <t>1.39</t>
  </si>
  <si>
    <t>衡方集团</t>
  </si>
  <si>
    <t>1.40</t>
  </si>
  <si>
    <t>东方基因国际控股</t>
  </si>
  <si>
    <t>1.41</t>
  </si>
  <si>
    <t>衡健英国控股</t>
  </si>
  <si>
    <t>1.42</t>
  </si>
  <si>
    <t>衡健美国控股</t>
  </si>
  <si>
    <t>1.43</t>
  </si>
  <si>
    <t>衡健生命科学</t>
  </si>
  <si>
    <t>1.44</t>
  </si>
  <si>
    <t>德克萨斯科学</t>
  </si>
  <si>
    <t>1.45</t>
  </si>
  <si>
    <t>北京华信农威</t>
  </si>
  <si>
    <t>1、26年预计开发新集团客户，导致收入大幅上升；
2、公司衣原体产品独树一帜，26年预计营收增加965万元，其中鸡衣原体增加570万，羊衣原体增加395万</t>
  </si>
  <si>
    <t>毛利率增加6个点，主要原因是衣原体产品经过25年市场开拓以及集团客户的开发，26年销售比重会加大，相应的毛利额增多。</t>
  </si>
  <si>
    <t>薪酬186万元，差旅费83万元，服务费124万元，销售费率下降主要为销售费用增幅低于收入增幅。</t>
  </si>
  <si>
    <t>薪酬194万元，房租及物业费56万，无形资产摊销49万，管理费用费率下降主要为管理费用下降且收入增长（25年存货过期报废70万）。</t>
  </si>
  <si>
    <t>薪酬334万，场地租赁费120万，折旧摊销70万。
研发费用增加226万：主要是场地租赁费增加120万</t>
  </si>
  <si>
    <t>存在，26年陆续需要投资1000万</t>
  </si>
  <si>
    <r>
      <t>1、25年预计营收1,529万（1-10月1,289万,11-12月240万），毛利730万，毛利率48%，期间费用合计1413万，预计</t>
    </r>
    <r>
      <rPr>
        <b/>
        <sz val="10"/>
        <color rgb="FF000000"/>
        <rFont val="微软雅黑"/>
        <charset val="134"/>
      </rPr>
      <t>亏损1071万。</t>
    </r>
    <r>
      <rPr>
        <sz val="10"/>
        <color rgb="FF000000"/>
        <rFont val="微软雅黑"/>
        <charset val="134"/>
      </rPr>
      <t xml:space="preserve">
2、26预计营收2,579万（较25年增加金额1049万），预计期间费用1,640万（较25年增加227万,主要为研发投入增加），</t>
    </r>
    <r>
      <rPr>
        <b/>
        <sz val="10"/>
        <color rgb="FF000000"/>
        <rFont val="微软雅黑"/>
        <charset val="134"/>
      </rPr>
      <t>26年预计亏损272万</t>
    </r>
    <r>
      <rPr>
        <sz val="10"/>
        <color rgb="FF000000"/>
        <rFont val="微软雅黑"/>
        <charset val="134"/>
      </rPr>
      <t>（较25年减少亏损798万)。
衣原体产品迟迟未上量的原因？</t>
    </r>
  </si>
  <si>
    <t>1.46</t>
  </si>
  <si>
    <t>杭州莱和生物</t>
  </si>
  <si>
    <t>26年收入增加4,400万，主要系传染病系列增加2,720万，其他系列增长992万</t>
  </si>
  <si>
    <t>26年毛利率预计增长4%，主要是传染病系列收入占比近七成，毛利率稳定在46%，服务系列和仪器系列毛利率由负转正。</t>
  </si>
  <si>
    <t>薪酬425万、差旅费81万、市场推广44万。收入翻倍而费用微降4%，主要得益于渠道复用、集中参展及规模摊薄</t>
  </si>
  <si>
    <t>薪酬311万元、折旧102万元、差旅费92万元，管理费用总额较25年下降82万，主要系管理人员薪酬总额下降101万</t>
  </si>
  <si>
    <t>临床实验费703万、检测费480万、薪酬520万。</t>
  </si>
  <si>
    <r>
      <t>1、25年预计营收5,267万元（传染病系列3900万，占比75%；毒品系列695万，占比13%）,毛利率35% 。期间费用2,400万（销售687万，管理826万，研发802万，财务59万），25年预计</t>
    </r>
    <r>
      <rPr>
        <b/>
        <sz val="10"/>
        <color rgb="FF000000"/>
        <rFont val="微软雅黑"/>
        <charset val="0"/>
      </rPr>
      <t>亏损670万</t>
    </r>
    <r>
      <rPr>
        <sz val="10"/>
        <color rgb="FF000000"/>
        <rFont val="微软雅黑"/>
        <charset val="0"/>
      </rPr>
      <t>；
2、26年预计营收9,690万元 ，预计毛利率39%。期间费用3,971万（销售657万，管理744万，</t>
    </r>
    <r>
      <rPr>
        <sz val="10"/>
        <color rgb="FFFF0000"/>
        <rFont val="微软雅黑"/>
        <charset val="0"/>
      </rPr>
      <t>研发2,526万</t>
    </r>
    <r>
      <rPr>
        <sz val="10"/>
        <color rgb="FF000000"/>
        <rFont val="微软雅黑"/>
        <charset val="0"/>
      </rPr>
      <t>，财务44万），</t>
    </r>
    <r>
      <rPr>
        <b/>
        <sz val="10"/>
        <color rgb="FF000000"/>
        <rFont val="微软雅黑"/>
        <charset val="0"/>
      </rPr>
      <t>预计亏损285万</t>
    </r>
    <r>
      <rPr>
        <sz val="10"/>
        <color rgb="FF000000"/>
        <rFont val="微软雅黑"/>
        <charset val="0"/>
      </rPr>
      <t xml:space="preserve"> 。
3、26年营收增加4,400万，主要系集团外传染病系列增加2700万，毒品系列增加430万，新增其他系列业务990万。
关注
1、收入大幅增长但净利润仍为负？
2、营收大幅增长，是否有意向客户/意向合同，数据是否有支撑性。
3、本期研发投入增幅较大，共2526万。具体针对什么项目？注册费363万元涉及哪些产品注册？
</t>
    </r>
  </si>
  <si>
    <t xml:space="preserve">1、收入大幅增长但净利润仍为负？
2、营收大幅增长，是否有意向客户/意向合同，数据是否有支撑性。
3、本期研发投入增幅较大，共2526万。具体针对什么项目？注册费363万元涉及哪些产品注册？
</t>
  </si>
  <si>
    <t>1.47</t>
  </si>
  <si>
    <t>美国康赋生物</t>
  </si>
  <si>
    <t>26年收入的增长主要为非处方业务，主要为新冠（检测）与沃尔玛渠道的生育类产品</t>
  </si>
  <si>
    <t>26年毛利率上升，传染病系列采购价降低。</t>
  </si>
  <si>
    <t>薪酬1,550万，市场推广费611万，佣金185万，市场调研89万</t>
  </si>
  <si>
    <r>
      <rPr>
        <sz val="11"/>
        <color rgb="FF000000"/>
        <rFont val="微软雅黑"/>
        <charset val="134"/>
      </rPr>
      <t>薪酬1322万，租金278万，</t>
    </r>
    <r>
      <rPr>
        <b/>
        <sz val="11"/>
        <color rgb="FFFF0000"/>
        <rFont val="微软雅黑"/>
        <charset val="134"/>
      </rPr>
      <t>存货盘点差异274万</t>
    </r>
    <r>
      <rPr>
        <sz val="11"/>
        <color rgb="FF000000"/>
        <rFont val="微软雅黑"/>
        <charset val="134"/>
      </rPr>
      <t>，信息化建设273万。</t>
    </r>
  </si>
  <si>
    <t>1、25年营收预计22,653万（毛利率29%），销售+管理费用约4,540万；净利润1,570万，净利润率约6.9%。
2、26年预计营收27,208元（毛利率35%），销售+管理费用约5,398万（薪酬2,800万），预计净利润3,605万，净利润率约13%。
3、2026年营收同比增长4,500万，主要系非处方业务，具体涉及新冠（检测）与沃尔玛渠道的生育类产品。
4、毛利率增长6个点，主要为传染病系列采购价减少导致。
5、存货盘点差异：walgreens门店的库存损耗，其损耗平均占walgreens销售额的2-3%。预计损耗率将更高，原因是新冠/流感类商品在门店存在更高的丢失和失窃风险, 康赋团队自去年起已多次向walgreens提出升级处理以进行更深入分析。然而，walgreens仅同意在年度净差异超过10%时启动调查。</t>
  </si>
  <si>
    <t>walgreens门店的库存损耗，其损耗平均占walgreens销售额的2-3%。预计损耗率将更高，原因是新冠/流感类商品在门店存在更高的丢失和失窃风险, 康赋团队自去年起已多次向walgreens提出升级处理以进行更深入分析。然而，walgreens仅同意在年度净差异超过10%时启动调查。</t>
  </si>
  <si>
    <t>1.48</t>
  </si>
  <si>
    <t>德国衡健</t>
  </si>
  <si>
    <t>1.49</t>
  </si>
  <si>
    <t>菲律宾衡健</t>
  </si>
  <si>
    <t>预计26年6月正式启动销售业务</t>
  </si>
  <si>
    <t>薪酬57万（新增销售人员）；展会费24万，差旅费19万。系26年启动销售相应费用增加</t>
  </si>
  <si>
    <t>房租与物业费28万（房租不变，物业费上涨5%），薪酬12万（人员新增）；服务费7.8万，同比下降 6%，系开办费用减少。</t>
  </si>
  <si>
    <t>存在，预计2026年下半年需要美国衡健借款200万元人民币</t>
  </si>
  <si>
    <t>1、预计26年6月产生销售，全年预计营收240万元（体外诊断试剂185万、体外诊断仪器55万）。
2、26年预计期间费用166万。销售费用111万（薪酬57万、展会费24万）；管理费用50万元（薪酬12万、房租与物业费28万）。
3、26年预计净利润-142万，较25年增加亏损94万，系销售费用增加100万（毛利率10%,毛利不足以覆盖费用增加）。</t>
  </si>
  <si>
    <t>1.50</t>
  </si>
  <si>
    <t>衡健动物健康</t>
  </si>
  <si>
    <t>1.51</t>
  </si>
  <si>
    <t>巴西衡健</t>
  </si>
  <si>
    <t>美元</t>
  </si>
  <si>
    <t>加元</t>
  </si>
  <si>
    <t>英镑</t>
  </si>
  <si>
    <t>采用2025年10月31日汇率</t>
  </si>
  <si>
    <t>东方基因2025年预算小结汇总表</t>
  </si>
  <si>
    <t xml:space="preserve">1、25年1-10月收入621万，11-12月预估收入275万，合计896万。期间费用（销售费用2万、管理费用128万、研发费用291万）；亏损356万。
2、2026年预计营业收入1750万、期间费用（销售费用1万、管理费用122万、研发费用362万，亏损87万，26年营业收入较25年增加854万；26年预计期间费用较25年增加63万；26年预计净利润较25年增加269万。
3、2025年收入总额896万，主要来源于体外诊断仪器307万、注塑件279万和其他系列264万，贸易系列68万​占比较小。2026年预算收入总额大幅提升，主要是体外诊断增长1200万元。
</t>
  </si>
  <si>
    <t>1、收入增长合理性，是否有相应支撑；</t>
  </si>
  <si>
    <t>收入变动处说明，变动情况，不同的业务板块收入金额。
费用没有写出前3项分别多少金额
小结处应说明26年不同板块分别预算收入多少金额，销售增长多少金额，分别毛利率多少；</t>
  </si>
  <si>
    <r>
      <rPr>
        <sz val="10"/>
        <color rgb="FF000000"/>
        <rFont val="Arial"/>
        <charset val="134"/>
      </rPr>
      <t>1</t>
    </r>
    <r>
      <rPr>
        <sz val="10"/>
        <color rgb="FF000000"/>
        <rFont val="宋体"/>
        <charset val="134"/>
      </rPr>
      <t>、</t>
    </r>
    <r>
      <rPr>
        <sz val="10"/>
        <color rgb="FF000000"/>
        <rFont val="Arial"/>
        <charset val="134"/>
      </rPr>
      <t>25</t>
    </r>
    <r>
      <rPr>
        <sz val="10"/>
        <color rgb="FF000000"/>
        <rFont val="宋体"/>
        <charset val="134"/>
      </rPr>
      <t>年</t>
    </r>
    <r>
      <rPr>
        <sz val="10"/>
        <color rgb="FF000000"/>
        <rFont val="Arial"/>
        <charset val="134"/>
      </rPr>
      <t>1-10</t>
    </r>
    <r>
      <rPr>
        <sz val="10"/>
        <color rgb="FF000000"/>
        <rFont val="宋体"/>
        <charset val="134"/>
      </rPr>
      <t>月收入</t>
    </r>
    <r>
      <rPr>
        <sz val="10"/>
        <color rgb="FF000000"/>
        <rFont val="Arial"/>
        <charset val="134"/>
      </rPr>
      <t>424</t>
    </r>
    <r>
      <rPr>
        <sz val="10"/>
        <color rgb="FF000000"/>
        <rFont val="宋体"/>
        <charset val="134"/>
      </rPr>
      <t>万，</t>
    </r>
    <r>
      <rPr>
        <sz val="10"/>
        <color rgb="FF000000"/>
        <rFont val="Arial"/>
        <charset val="134"/>
      </rPr>
      <t>11-12</t>
    </r>
    <r>
      <rPr>
        <sz val="10"/>
        <color rgb="FF000000"/>
        <rFont val="宋体"/>
        <charset val="134"/>
      </rPr>
      <t>月预估收入</t>
    </r>
    <r>
      <rPr>
        <sz val="10"/>
        <color rgb="FF000000"/>
        <rFont val="Arial"/>
        <charset val="134"/>
      </rPr>
      <t>105万</t>
    </r>
    <r>
      <rPr>
        <sz val="10"/>
        <color rgb="FF000000"/>
        <rFont val="宋体"/>
        <charset val="134"/>
      </rPr>
      <t>，合计</t>
    </r>
    <r>
      <rPr>
        <sz val="10"/>
        <color rgb="FF000000"/>
        <rFont val="Arial"/>
        <charset val="134"/>
      </rPr>
      <t>529</t>
    </r>
    <r>
      <rPr>
        <sz val="10"/>
        <color rgb="FF000000"/>
        <rFont val="宋体"/>
        <charset val="134"/>
      </rPr>
      <t>万。期间费用（销售费用</t>
    </r>
    <r>
      <rPr>
        <sz val="10"/>
        <color rgb="FF000000"/>
        <rFont val="Arial"/>
        <charset val="134"/>
      </rPr>
      <t>888</t>
    </r>
    <r>
      <rPr>
        <sz val="10"/>
        <color rgb="FF000000"/>
        <rFont val="宋体"/>
        <charset val="134"/>
      </rPr>
      <t>万、管理费用147万）、亏损</t>
    </r>
    <r>
      <rPr>
        <sz val="10"/>
        <color rgb="FF000000"/>
        <rFont val="Arial"/>
        <charset val="134"/>
      </rPr>
      <t>742</t>
    </r>
    <r>
      <rPr>
        <sz val="10"/>
        <color rgb="FF000000"/>
        <rFont val="宋体"/>
        <charset val="134"/>
      </rPr>
      <t>万。</t>
    </r>
    <r>
      <rPr>
        <sz val="10"/>
        <color rgb="FF000000"/>
        <rFont val="Arial"/>
        <charset val="134"/>
      </rPr>
      <t xml:space="preserve">
2</t>
    </r>
    <r>
      <rPr>
        <sz val="10"/>
        <color rgb="FF000000"/>
        <rFont val="宋体"/>
        <charset val="134"/>
      </rPr>
      <t>、</t>
    </r>
    <r>
      <rPr>
        <sz val="10"/>
        <color rgb="FF000000"/>
        <rFont val="Arial"/>
        <charset val="134"/>
      </rPr>
      <t>2026</t>
    </r>
    <r>
      <rPr>
        <sz val="10"/>
        <color rgb="FF000000"/>
        <rFont val="宋体"/>
        <charset val="134"/>
      </rPr>
      <t>年预计营业收入</t>
    </r>
    <r>
      <rPr>
        <sz val="10"/>
        <color rgb="FF000000"/>
        <rFont val="Arial"/>
        <charset val="134"/>
      </rPr>
      <t>1210</t>
    </r>
    <r>
      <rPr>
        <sz val="10"/>
        <color rgb="FF000000"/>
        <rFont val="宋体"/>
        <charset val="134"/>
      </rPr>
      <t>万、期间费用（销售费用</t>
    </r>
    <r>
      <rPr>
        <sz val="10"/>
        <color rgb="FF000000"/>
        <rFont val="Arial"/>
        <charset val="134"/>
      </rPr>
      <t>929</t>
    </r>
    <r>
      <rPr>
        <sz val="10"/>
        <color rgb="FF000000"/>
        <rFont val="宋体"/>
        <charset val="134"/>
      </rPr>
      <t>万、管理费用</t>
    </r>
    <r>
      <rPr>
        <sz val="10"/>
        <color rgb="FF000000"/>
        <rFont val="Arial"/>
        <charset val="134"/>
      </rPr>
      <t>126</t>
    </r>
    <r>
      <rPr>
        <sz val="10"/>
        <color rgb="FF000000"/>
        <rFont val="宋体"/>
        <charset val="134"/>
      </rPr>
      <t>万)、亏损</t>
    </r>
    <r>
      <rPr>
        <sz val="10"/>
        <color rgb="FF000000"/>
        <rFont val="Arial"/>
        <charset val="134"/>
      </rPr>
      <t>652</t>
    </r>
    <r>
      <rPr>
        <sz val="10"/>
        <color rgb="FF000000"/>
        <rFont val="宋体"/>
        <charset val="134"/>
      </rPr>
      <t>万，</t>
    </r>
    <r>
      <rPr>
        <sz val="10"/>
        <color rgb="FF000000"/>
        <rFont val="Arial"/>
        <charset val="134"/>
      </rPr>
      <t>26</t>
    </r>
    <r>
      <rPr>
        <sz val="10"/>
        <color rgb="FF000000"/>
        <rFont val="宋体"/>
        <charset val="134"/>
      </rPr>
      <t>年营业收入较</t>
    </r>
    <r>
      <rPr>
        <sz val="10"/>
        <color rgb="FF000000"/>
        <rFont val="Arial"/>
        <charset val="134"/>
      </rPr>
      <t>25</t>
    </r>
    <r>
      <rPr>
        <sz val="10"/>
        <color rgb="FF000000"/>
        <rFont val="宋体"/>
        <charset val="134"/>
      </rPr>
      <t>年增加</t>
    </r>
    <r>
      <rPr>
        <sz val="10"/>
        <color rgb="FF000000"/>
        <rFont val="Arial"/>
        <charset val="134"/>
      </rPr>
      <t>682</t>
    </r>
    <r>
      <rPr>
        <sz val="10"/>
        <color rgb="FF000000"/>
        <rFont val="宋体"/>
        <charset val="134"/>
      </rPr>
      <t>万；</t>
    </r>
    <r>
      <rPr>
        <sz val="10"/>
        <color rgb="FF000000"/>
        <rFont val="Arial"/>
        <charset val="134"/>
      </rPr>
      <t>26</t>
    </r>
    <r>
      <rPr>
        <sz val="10"/>
        <color rgb="FF000000"/>
        <rFont val="宋体"/>
        <charset val="134"/>
      </rPr>
      <t>年预计期间费用较</t>
    </r>
    <r>
      <rPr>
        <sz val="10"/>
        <color rgb="FF000000"/>
        <rFont val="Arial"/>
        <charset val="134"/>
      </rPr>
      <t>25</t>
    </r>
    <r>
      <rPr>
        <sz val="10"/>
        <color rgb="FF000000"/>
        <rFont val="宋体"/>
        <charset val="134"/>
      </rPr>
      <t>年增加</t>
    </r>
    <r>
      <rPr>
        <sz val="10"/>
        <color rgb="FF000000"/>
        <rFont val="Arial"/>
        <charset val="134"/>
      </rPr>
      <t>9</t>
    </r>
    <r>
      <rPr>
        <sz val="10"/>
        <color rgb="FF000000"/>
        <rFont val="宋体"/>
        <charset val="134"/>
      </rPr>
      <t>万；</t>
    </r>
    <r>
      <rPr>
        <sz val="10"/>
        <color rgb="FF000000"/>
        <rFont val="Arial"/>
        <charset val="134"/>
      </rPr>
      <t>26</t>
    </r>
    <r>
      <rPr>
        <sz val="10"/>
        <color rgb="FF000000"/>
        <rFont val="宋体"/>
        <charset val="134"/>
      </rPr>
      <t>年预计净利润较</t>
    </r>
    <r>
      <rPr>
        <sz val="10"/>
        <color rgb="FF000000"/>
        <rFont val="Arial"/>
        <charset val="134"/>
      </rPr>
      <t>25</t>
    </r>
    <r>
      <rPr>
        <sz val="10"/>
        <color rgb="FF000000"/>
        <rFont val="宋体"/>
        <charset val="134"/>
      </rPr>
      <t>年增加</t>
    </r>
    <r>
      <rPr>
        <sz val="10"/>
        <color rgb="FF000000"/>
        <rFont val="Arial"/>
        <charset val="134"/>
      </rPr>
      <t>90</t>
    </r>
    <r>
      <rPr>
        <sz val="10"/>
        <color rgb="FF000000"/>
        <rFont val="宋体"/>
        <charset val="134"/>
      </rPr>
      <t>万。</t>
    </r>
    <r>
      <rPr>
        <sz val="10"/>
        <color rgb="FF000000"/>
        <rFont val="Arial"/>
        <charset val="134"/>
      </rPr>
      <t xml:space="preserve">
3</t>
    </r>
    <r>
      <rPr>
        <sz val="10"/>
        <color rgb="FF000000"/>
        <rFont val="宋体"/>
        <charset val="134"/>
      </rPr>
      <t>、</t>
    </r>
    <r>
      <rPr>
        <sz val="10"/>
        <color rgb="FF000000"/>
        <rFont val="Arial"/>
        <charset val="134"/>
      </rPr>
      <t>2025</t>
    </r>
    <r>
      <rPr>
        <sz val="10"/>
        <color rgb="FF000000"/>
        <rFont val="宋体"/>
        <charset val="134"/>
      </rPr>
      <t>年收入总额</t>
    </r>
    <r>
      <rPr>
        <sz val="10"/>
        <color rgb="FF000000"/>
        <rFont val="Arial"/>
        <charset val="134"/>
      </rPr>
      <t>529</t>
    </r>
    <r>
      <rPr>
        <sz val="10"/>
        <color rgb="FF000000"/>
        <rFont val="宋体"/>
        <charset val="134"/>
      </rPr>
      <t>万，主要来源于跨境电商</t>
    </r>
    <r>
      <rPr>
        <sz val="10"/>
        <color rgb="FF000000"/>
        <rFont val="Arial"/>
        <charset val="134"/>
      </rPr>
      <t>288</t>
    </r>
    <r>
      <rPr>
        <sz val="10"/>
        <color rgb="FF000000"/>
        <rFont val="宋体"/>
        <charset val="134"/>
      </rPr>
      <t>万和集团内销售（衡健）</t>
    </r>
    <r>
      <rPr>
        <sz val="10"/>
        <color rgb="FF000000"/>
        <rFont val="Arial"/>
        <charset val="134"/>
      </rPr>
      <t>103</t>
    </r>
    <r>
      <rPr>
        <sz val="10"/>
        <color rgb="FF000000"/>
        <rFont val="宋体"/>
        <charset val="134"/>
      </rPr>
      <t>万元，国内销售</t>
    </r>
    <r>
      <rPr>
        <sz val="10"/>
        <color rgb="FF000000"/>
        <rFont val="Arial"/>
        <charset val="134"/>
      </rPr>
      <t>49</t>
    </r>
    <r>
      <rPr>
        <sz val="10"/>
        <color rgb="FF000000"/>
        <rFont val="宋体"/>
        <charset val="134"/>
      </rPr>
      <t>万元</t>
    </r>
    <r>
      <rPr>
        <sz val="10"/>
        <color rgb="FF000000"/>
        <rFont val="Arial"/>
        <charset val="134"/>
      </rPr>
      <t>​</t>
    </r>
    <r>
      <rPr>
        <sz val="10"/>
        <color rgb="FF000000"/>
        <rFont val="宋体"/>
        <charset val="134"/>
      </rPr>
      <t>占比很小。</t>
    </r>
    <r>
      <rPr>
        <b/>
        <sz val="10"/>
        <color rgb="FF000000"/>
        <rFont val="Arial"/>
        <charset val="134"/>
      </rPr>
      <t>2026</t>
    </r>
    <r>
      <rPr>
        <b/>
        <sz val="10"/>
        <color rgb="FF000000"/>
        <rFont val="宋体"/>
        <charset val="134"/>
      </rPr>
      <t>年预算</t>
    </r>
    <r>
      <rPr>
        <sz val="10"/>
        <color rgb="FF000000"/>
        <rFont val="宋体"/>
        <charset val="134"/>
      </rPr>
      <t>收入总额大幅提升，主要是新增黄懿团队内销销售目标</t>
    </r>
    <r>
      <rPr>
        <sz val="10"/>
        <color rgb="FF000000"/>
        <rFont val="Arial"/>
        <charset val="134"/>
      </rPr>
      <t xml:space="preserve"> 695</t>
    </r>
    <r>
      <rPr>
        <sz val="10"/>
        <color rgb="FF000000"/>
        <rFont val="宋体"/>
        <charset val="134"/>
      </rPr>
      <t>万元，跨境电商业务保持稳定增长。
4、道格仕分别核算黄懿、母公司外销团队、集团内进出口、亚马逊跨境电商业务，各板块随意情况详见分板块损益表</t>
    </r>
  </si>
  <si>
    <t xml:space="preserve">1、责任中心与利润中心错位，道格仕名下的外销人员的薪酬及销售业务相关差旅费在道格仕列支，但相关收入在母公司。导致无法准确评估销售团队的效能，母公司无法看到为获取收入所付出的直接人力成本，无法考核母公司销售团队的业绩，也无法合理考核道格仕的费用控制情况。
</t>
  </si>
  <si>
    <t>小结处应说明26年不同板块分别预算收入多少金额，销售增长多少金额，分别毛利率多少；
黄团队内销团队，主要做什么业务？
另：分公司是不能装销售人员、生产人员的，否则税务会出问题。因此仅在小结中增加提示，其中多少人工和费用，实际属于东方基因的外销团队列支费用。剔除这部分费用后，不同板块下收入、费用、利润情况（可列表）</t>
  </si>
  <si>
    <t>主要受高停工成本拖累</t>
  </si>
  <si>
    <t>1、25年1-10月份实际营业收入220万、期间费用1539万，亏损1848万；10-12月预估营业收入9万、期间费用374万、亏损458万。预计25年全年收入229万，期间费用合计1913万，亏损2306万。
2、26年预计营业收入实现887万（2026年预算为887.14万元，较2025年预计全年增长288%，增长主要来源于境外HPV等试剂销售及Genestream系列仪器)。
26年预计期间费用3192万（较25年增加1279万，费用的增加主要是研发费用增加1091万（其中临床实验费增加926万），其中研发费用2271万，管理费用795万，销售费用123万；固定费用1634万（主要为薪酬1043万，房租257万，折摊336万）。
3、本期预估良渚场地装修预算715万.
4、资金缺口3400万。</t>
  </si>
  <si>
    <t>取得注册证的三款产品，26年销售目标50万</t>
  </si>
  <si>
    <t>（1）段肖肖业务电商板块266万
（2）与梦板块45万
（3）渠道板块361万
（4)钱萍萍上药板块132.70万
（5)詹耀宠物业务线123.86万
（6)内部人力借调173.76万</t>
  </si>
  <si>
    <t xml:space="preserve">
费用主要构成：电商板块平台:投流推广费用&amp;平台扣点；渠道、与梦、宠物板块：前期铺货的样品费用；上药板块：按照回款金额20%的支付的佣金费用；剩余为固定的销售人员薪资。
国内电商平台费用105万，人工成本51万，佣金15万</t>
  </si>
  <si>
    <t>1、25年1-10月段肖肖业务收入485万，毛利98万，费用207万，亏损109万。11-12月预估收入241万，毛利39万，。
25年1-10月钱萍萍安徽省中医院业务收入69万，毛利26万，费用64万，亏损38万。11-12月预估收入18万，毛利2万。
2、26年段肖肖业务收入672万，毛利195万。
钱萍萍安徽省中医院业务收入133万，毛利53万，佣金15万，业务利润38万（未考虑其人工成本，房租及其他费用）
詹耀宠物业务收入124万，毛利12万</t>
  </si>
  <si>
    <t>杭万目前主要核算三个销售人员的业务，段肖肖、钱萍萍、詹耀</t>
  </si>
  <si>
    <t>主要驱动因素为集团内外试剂产品及集团内设备产品的销售预期提升</t>
  </si>
  <si>
    <r>
      <rPr>
        <b/>
        <sz val="10"/>
        <color rgb="FF000000"/>
        <rFont val="Arial"/>
        <charset val="134"/>
      </rPr>
      <t>1、25年</t>
    </r>
    <r>
      <rPr>
        <sz val="10"/>
        <color rgb="FF000000"/>
        <rFont val="Arial"/>
        <charset val="134"/>
      </rPr>
      <t>1-10月收入180万，成本336万，期间费用555万（销售费用158万、管理费用164万、研发费用233万），亏损707万。11-12月预计收入0，费用94万。全年预计亏损802万。</t>
    </r>
    <r>
      <rPr>
        <b/>
        <sz val="10"/>
        <color rgb="FF000000"/>
        <rFont val="Arial"/>
        <charset val="134"/>
      </rPr>
      <t xml:space="preserve">
2、26年收入预算：</t>
    </r>
    <r>
      <rPr>
        <sz val="10"/>
        <color rgb="FF000000"/>
        <rFont val="Arial"/>
        <charset val="134"/>
      </rPr>
      <t xml:space="preserve">1、集团内收入：
（1）试剂产品收入：331万（主要是过敏原、微流控生化试剂）
（2）设备产品收入：826万（主要是流式M120、研磨仪、FAS-2000、微流控生化仪）
2、集团外收入：
（1）试剂产品收入：354万（主要是过敏原存量及意向客户）
收入合计：331+826+354=1511万
</t>
    </r>
    <r>
      <rPr>
        <b/>
        <sz val="10"/>
        <color rgb="FF000000"/>
        <rFont val="Arial"/>
        <charset val="134"/>
      </rPr>
      <t>26年成本预算</t>
    </r>
    <r>
      <rPr>
        <sz val="10"/>
        <color rgb="FF000000"/>
        <rFont val="Arial"/>
        <charset val="134"/>
      </rPr>
      <t>：
1、产品销售成本：
（1）试剂产品成本：285万（根据预算的材料成本、制造费用，参考历年的人工占比以及毛利率35.51%）
（2）设备产品成本：721万 （毛利率13%）
（3）停工成本：102万（预计试剂产量不饱和）
成本合计：285+721+102=1107万
2026年整个公司的成本费用预算3218.9万，其中1107.45进成本，剩余2111.45万进费用（其中销售费用329万，管理费用373万，研发费用1409万），全年预计亏损1706万。</t>
    </r>
  </si>
  <si>
    <t xml:space="preserve">工资169万，差旅费20万，业务招待费费11万。销售费用合计减少44万，销售费用降低，收入增加，故销售费用率降低
</t>
  </si>
  <si>
    <t>工资151万，房租物业39万，水电33万。管理费用总体增加51万，主要为装修摊销增加15万（U谷装修），水电费增加30万（暂时无法区分生产用水电，一并预估），管理费用增幅高于收入增幅，故管理费用率上升。</t>
  </si>
  <si>
    <t xml:space="preserve">1、25年1-10月份实际营业收入2130万，期间费用984万，亏损338万，11-12月预估收入470万、期间费用309万，亏损183万。
2、预计26年营业收入实现2743万（较25年增加金额144万，集团外增加137万），26年预计期间费用1026万（较25年减少267万，主要是研发费用减少277万），26年预计亏损382万（较25年减少亏损138万)。
3、亏损主要因素：预计26年实现毛利661万，无法覆盖期间费用总额1026万。（固定成本费用构成：固定人员薪酬409万，房租49万，折旧费57万）
4、预计26年全年无重大投资活动，无资金缺口。
</t>
  </si>
  <si>
    <t>25年集团内销售毛利率11%，大于5%</t>
  </si>
  <si>
    <t>2026年度销售费用主要是工资15.64万元，展会费7.7万元，业务招待费1.5万元，25年开始慢慢开发新客户，26年销售部门工资单独核算，所以销售费用工资有增加</t>
  </si>
  <si>
    <t>2026年度管理费用工资社保89.69万元，福利费2.78万元主要是节日福利和高温福利，车辆使用费2.75万元是公司两辆车的保险和平时油费。</t>
  </si>
  <si>
    <t xml:space="preserve">
1.25年1-10月份实际营业收入2097万，期间费用1913万，亏损1581万，11-12月预估收入161万，期间费用350万，亏损322万（检测类业务亏损316万，亚马逊业务亏损6万）.预计25年全年收入2258万，毛利额351万，期间费用合计2265万，亏损1906万(含亚马逊亏损31万)。
（截止11月末，贸易业务收入 1558万，利润126 万，毛利率7%，客户海南西部中心医院应收金额500万，太元生物应收余额1125万，国药器械应收余额54.7万）
2、26年营业收入预计1305万, 整体同比25年减少952万, 主因海南贸易业务交易停止.检测服务收入同比25年增加345万.涨幅64%；26年预计期间费用1912万,同比25年减少354万；26年预计亏损1332万(含亚马逊亏损20万,大行政人力费用142万),同比25年亏损减少574万.   其中检测类业务收入 887 万，毛利额 384万，共建收入265万，毛利额122万.
3、亏损的主要原因是：26年预计实现毛利额580万，期间费用1912万, 固定费用1584万,其中:人力费用843万，折旧/摊销623万，房租物业118万.
4、预计26年海南项目回款696万，在不归还集团借款的情况下，预计还有400万资金缺口</t>
  </si>
  <si>
    <t>1、25年年初中标的共建项目-徐州儿童医院，前期已投入几百万，到目前为止仍未贡献收入，26年预估收入207万
2、公司21年成立，至今已运营4年，仍无法盈利，预期也无法实现盈利。</t>
  </si>
  <si>
    <t xml:space="preserve">1、25年1-10月收入1780万，11-12月预估收入360万，合计2140万。2025年收入总额2140万，主要是早孕检测试纸1202万、排卵检测509万和毒品检测105万，UTI系列23万​占比较小。期间费用（销售费用1727万、管理费用332万）；亏损437万。
2、2026年预计营业收入5577万、2026年预算收入总额大幅提升，主要是新增国内电商医美系列3500万元。期间费用4437万，其中销售费用4086万、管理费用349万。净利润270万（盈利的主要原因是新增国内电商业务预计实现业务利润976万）。
3、26年分业务线看跨境电商收入1844万，成本费用2007万，亏损164万。国内电商业务3540万，成本费用2580万，净利润960万。其他中后台费用545万
</t>
  </si>
  <si>
    <t>1、新国内电商业务收入实现的可行性，是否有支撑依据；
2、当前电商团队编制多少人？人均产出是否合理？是否存在“纸上谈兵式”收入预测？
3、医美护肤品行业平均毛利率通常在60%-75%，为何公司能高达85%-90%
4、深圳衡康2026年预算呈现出‘电商驱动、高毛利、强依赖集团输血’的特点。虽然增长潜力大，但业务转型跨度极大，且缺乏扎实的运营基础和风控机制。</t>
  </si>
  <si>
    <r>
      <rPr>
        <sz val="10"/>
        <color rgb="FF000000"/>
        <rFont val="Arial"/>
        <charset val="134"/>
      </rPr>
      <t>1、</t>
    </r>
    <r>
      <rPr>
        <b/>
        <sz val="10"/>
        <color rgb="FF000000"/>
        <rFont val="Arial"/>
        <charset val="134"/>
      </rPr>
      <t>从公司整体看2025年经营情况：</t>
    </r>
    <r>
      <rPr>
        <sz val="10"/>
        <color rgb="FF000000"/>
        <rFont val="Arial"/>
        <charset val="134"/>
      </rPr>
      <t xml:space="preserve">2025年1-10月实际收入814万元，11-12月预估收入129万元，全年合计收入943万元。期间费用合计2,559万元（销售69万、管理1,293万、研发1,199万），亏损2,183万元。
</t>
    </r>
    <r>
      <rPr>
        <b/>
        <sz val="10"/>
        <color rgb="FF000000"/>
        <rFont val="Arial"/>
        <charset val="134"/>
      </rPr>
      <t>分业务看2025年1-10月经营情况：</t>
    </r>
    <r>
      <rPr>
        <sz val="10"/>
        <color rgb="FF000000"/>
        <rFont val="Arial"/>
        <charset val="134"/>
      </rPr>
      <t>①试剂销售收入5万，销售费用50万，管理费用545万，研发费用979万，亏损1660万。
②租赁：房租收入772万，折旧成本794万，税费165万，亏损188万
③其他（非业务相关）收入37万，净利润4万
2、2026年预计营业收入1,300万，期间费用合计3,064万（销售176万、管理1,270万、研发1,620万），亏损2,795万。分业务看，宠物产品收入71万，毛利3万。试剂销售收入430万，毛利4万。房租收入761万。
3、公司存在1,750万元资金缺口，依赖母公司输血填补，自身造血能力缺失，短期偿债无安排。</t>
    </r>
  </si>
  <si>
    <t xml:space="preserve">1、业务毛利率极低
人医部分检测试剂盒：毛利率仅 0.95%
宠物类试剂盒：毛利率 4.76%
2、上海万子健生物目前处于典型的‘高投入、无产出、全靠输血’状态。虽然研发具有战略性，但需要设定清晰的里程碑、阶段性考核指标和止损机制。建议集团层面加强对该公司的预算刚性约束，暂停新增借款审批，直至其提交可验证的商业化路径与回款保障方案。”
</t>
  </si>
  <si>
    <t>1、预计转固年折旧额737万；</t>
  </si>
  <si>
    <t xml:space="preserve">1、预计良渚办公楼年折旧额712万
2、26年资金需求1.3亿
</t>
  </si>
  <si>
    <t xml:space="preserve">工资82万，折旧摊销55万，水电5万。管理费用较25年下降110万，管理费用的下降比列低于销售收入的下降比列，故管理费用率上浮。
</t>
  </si>
  <si>
    <t>1、2025年1-10月实际营业收入218万元，11-12月预估收入19万元，全年合计营业收入 237万元。2025 年期间费用合计560万元，其中销售费用28万元、管理费用260万元、研发费用14万元、财务费用 3元，全年净亏损 425万元。
2、2026 年预计营业收入105万元，期间费用合计 204万元，预计净亏损166万元。
3、收入整体下滑主要因原酶业务 2026 年停止，而新增业务收入未能完全覆盖缺口。</t>
  </si>
  <si>
    <t xml:space="preserve">   </t>
  </si>
  <si>
    <t>1、从公司整体看2025年经营情况：2025年1-10月实际收入719万元，11-12月预估收入134万元，全年合计收入853万元。期间费用合计1381万元（销售135万、管理1,246万、研发49万），亏损1115万。
分业务看2025年1-10月经营情况：①司法鉴定业务收入383万，成本28万，销售费用191万，管理费用493万，研发费用49万，亏损379万。
②房租收入226万，成本226万。
③其他（非业务相关）收入110万，亏损673万。
2、26年全年收入1186.5万，毛利额622.77万，期间费用合计1678.51万，亏损1170.35万。
①26年司法鉴定收入745.28万，快筛产品销售收入53.1万，合计798.38万。毛利额622.77万，期间费用913.5万，亏损291.12万。
②26年万子健检测园区的房租收入254.31万，折旧费用727.72万，税费109.09万，亏损582.5万。
3、资金缺口180万</t>
  </si>
  <si>
    <t>`</t>
  </si>
  <si>
    <t>1、25年1-10月份营业收入267万，11-12月预计64万，期间费用886万，亏损963万。预计25年全年收入331万。
2、26年营业收入预计2126万（较25年增加金额1795万）；26年预计期间费用1460万（较25年增加574万）；26年预计亏损1424万（较25年亏损增加461万)。
3、亏损增加的主要原因是：房产转固后折旧费增加
4、资金缺口4250万</t>
  </si>
  <si>
    <t xml:space="preserve">26年较25年新增仪器产品系列销售增加1637万；
1、仪器类产品通常高客单价+低复购率会导致现金流与库存压力并存；
</t>
  </si>
  <si>
    <t>1、25年1-10年收入0万，期间费用106万（主要是办公楼的折旧费89万，装修摊销17万），亏损110万，全年预计亏损128万。
2、26年租金收入39万（出租给汉德森），管理费用97万，亏损66万</t>
  </si>
  <si>
    <t>办公室0.6万，折旧0.6万，管理费用下降81万，其中人工费用借调后26无金额，房屋退租后无租金。</t>
  </si>
  <si>
    <t>存在资金缺口，预计2026年6月份需要集团投资款100万</t>
  </si>
  <si>
    <t xml:space="preserve">1、成本中心，目前只有研发职能，建议人员转移至其他北京公司主体。
2、宠物研发部预计支出：162万元
3、资金缺口100万
</t>
  </si>
  <si>
    <t>差旅费2万，业务招待费13万。销售费率下降主要为销售费用增幅低于收入增幅。</t>
  </si>
  <si>
    <t xml:space="preserve">1、25年1-10月份实际营业收入93万，期间费用394万，亏损473万，11-12月预估收入36万、期间费用53万、亏损71万。预计25年全年收入129万，毛利-128万，期间费用合计448万，亏损545万。
2、2026年预计营业收入809万、期间费用369万、预计盈利2万。
3、26年收入构成主要为司法鉴定业务，文痕科室210万（报告数量90份）、交通科室217万（报告数量960份）、电子数据科室130万（报告数量72份）、法医临床科室211万（报告数量305份）、法医精神病科室（26年新增科室 报告数量90份）90万；
2026年较2025年收入增加680.31万，增收主要原因 入围北京高院系统，原有科室收入进一步打开，河南安阳及唐山项目后续结算，2026年新成立外联部门开发山东及山西、内蒙等京津冀周边新客户。
4、公司22年成立，已连续亏损4年，按照此版预算收入规模从129万-809万，同比增长超500%，26年勉强实现盈亏平衡
</t>
  </si>
  <si>
    <t xml:space="preserve">1、25年1-10月收入21万，11-12月预估收入46万，合计67万。期间费用（销售费用63万、管理费用326万）；亏损423万。
2、2026年预计营业收入1789万、期间费用（销售费用238万、管理费用613万，亏损576万，26年营业收入较25年增加1722万；26年预计期间费用较25年增加474万；26年预计净利润较25年减少153万。
3、2025年收入总额67万，主要来源于宠物产品35万。2026年预算收入总额大幅提升，主要是动物疫苗增长1300万元，仪器设备增长210万，房屋租赁207万。
</t>
  </si>
  <si>
    <t xml:space="preserve">1、25年1-10月收入393万，11-12月预估收入76万，合计469万，亏损13万。
2、2026年预计营业收入449万，费用主要是水电费
3、2025年收入总额469万，主要来源于房租及物业
</t>
  </si>
  <si>
    <t>成本中心，目前职能是清理核酸检测业务形成的应收账款，但25年零回款。
1、25年销售费用102万，其中人工38万，样品费49万，差旅费13万。25年管理费用10万，其中人工成本9万。
2、26年销售费用57万，其中人工38万，业务招待12万，差旅费6万。26年管理费用管理费用10万，其中人工成本9万。</t>
  </si>
  <si>
    <t>扩大市场、新品销售</t>
  </si>
  <si>
    <t>工资878万，差旅费188万，服务费120万。销售费率下降主要为销售费用增幅低于收入增幅。</t>
  </si>
  <si>
    <t xml:space="preserve">注册费800万，工资278万，使用权资产折旧51万。管理费用26年预计增加381万主要为：注册费增加301万，水电费增加41万，工资增加49万。管理费用的增长比列低于销售收入的增长，故管理费用率降低。
</t>
  </si>
  <si>
    <t>工资313万，临床实验伦理审查603万，折旧25万。主要变动为工资增加34万，临床实验伦理审查增加437万。</t>
  </si>
  <si>
    <t>1、25年1-10月份实际营业收入4592万，期间费用1996万，净利润359万，11-12月预估收入1418万、期间费用780万、净利润-46万。预计25年全年收入6010万，毛利3109万，期间费用合计2776万，净利润313万。
2、26年营业收入实现9305万（较25年增加金额3294万），均为销售检测试剂盒产品收入，26年预计期间费用3689万（较25年增加913万），26年预计净利润867万（较25年增加554万)。
3、盈利主要因素：预估26年销售收入9305万，按照51%毛利率预估，预估实现毛利4739万。能覆盖期间费用总额3689万。（固定成本费用构成：固定人员薪酬1701万，房租42万，折旧费26万）
4、全年无重大投资活动，无资金缺口。</t>
  </si>
  <si>
    <t>营收净增约 108 万元，主要在：一是设备收入因 2025 年未交付订单结转至 2026 年，贡献 43 万元；二是技术服务收入由负转正，净增 51 万元，原因是 2025 年终止合同一次性冲回拉低基数。。试剂业务保持低个位数自然增长</t>
  </si>
  <si>
    <t>毛利改善几乎全部由设备和服务拉动。设备毛利率从 21.1% 升至 37.2%，2025年由于NGS项目销售额大，毛利较低，拉低25年设备毛利；技术服务因 2026 年仅需投入人工成本，毛利率由负转正高达 94%。试剂毛利率仅微降 1.5 个百分点</t>
  </si>
  <si>
    <t>前三项为工资社保 190 万元、房租 34万元、折旧18万元，搬迁后房租一次性节约 32 万元。销售费用26年较25年下降46万，收入上涨，故销售费用率下降。</t>
  </si>
  <si>
    <t>前三项为工资社保 66 万元、长期待摊摊销 4.6 万元、水电办公杂费约 4 万元。管理费用较25年降低32万，压缩空间主要来自房租减少 22 万元和人员精简带来的人工下降 5.5 万元，26年收入上浮，故管理费用率降低。</t>
  </si>
  <si>
    <t>存在资金缺口，预计2026年1月份需要集团投资款100万</t>
  </si>
  <si>
    <t>1、25年1-10月份实际营业收入420万，期间费用339万，亏损143万，11-12月预估收入311万、期间费用72万、盈利6万。预计25年全年收入731万，毛利243万，期间费用合计93万，亏损-26万。
2、26年营业收入实现843万（较25年增加金额112万），其中试剂收入486万，仪器收入319万，技术服务38万，26年预计期间费用349万（较25年减少84万），26年预计盈利22万（较25年减少亏损额191万)。
3、盈利的主要原因是：1）收入规模843万，预测实现毛利373万，期间费用349万（其中固定费用319万，主要是固定人工262万，房租34万，折摊23万）
4、全年无重大投资活动，资金缺口预估在100万。</t>
  </si>
  <si>
    <t>1、25年亏损590万，折摊487万，房产土地税100万。
2、预计26年亏损597万，折摊487万，房产土地税100万。
3、需要支付房土两税，资金缺口115万
4、闲置资产，每年固定折摊487万，房土两税100万</t>
  </si>
  <si>
    <t>人工成本8.5万、差旅费2.4万</t>
  </si>
  <si>
    <t>人工成本123万、折旧和摊销费用65万、房屋租赁费41万。</t>
  </si>
  <si>
    <t>目前未开展生产经营，厂房闲置，目前由集团研发注册团队主导，公司进行样品生产和辅助资料准备，已取得注册证的27个品未实现转产：
1、25年收入0，停工成本306万，期间费用394万（销售费用18万，管理费用303万，研发费用73万（其中材料成本19万、临床试验及伦理审查费24万、注册费23万）），亏损700万。
2、26年年收入0，停工成本314万，期间费用417万（销售费用12万，管理费用252万，研发费用154万（其中材料成本18万、临床试验及伦理审查费116万、注册费13万）），亏损732万。</t>
  </si>
  <si>
    <t>26年要退租综合楼，退租降本。但是一边又要花90万在车间里盖办公室——这到底是节约成本，还是制造新的沉没成本</t>
  </si>
  <si>
    <t>人工成本16万、销售服务费15万（与今年此项费用持平）、招投标服务费8万</t>
  </si>
  <si>
    <t>人工成本23万、房屋和车辆租赁21万。</t>
  </si>
  <si>
    <t>贸易公司，目前的业务是参与哈尔滨当地医院的医疗设备的招投标，产品不是集团自有产品，均需向外部供应商采购。
1、25年1-10月份实现收入87万元，成本54万元，期间费用87万，亏损55万，10-12月预估收入65万、期间费用12万、净利润7万。预计25年全年收入152万，期间费用合计100万，亏损48万。
2、2026年收入 354万元，期间费用90万元，其中销售费用42万（人工成本16万、售后服务费15万、招投标服务费8万），管理费用48万（房租物业21万，工资23万），亏损13万元（同比减少34万元）。
3、26年预算资金缺口300万</t>
  </si>
  <si>
    <t>哈尔滨除了注册职能外，其他职能需明确定位。目前仅依靠零星贸易业务。</t>
  </si>
  <si>
    <t>1、26年预计会开发新集团客户，对公司产品的需求会影响销售收入的增长；
2、公司衣原体产品独树一帜，在26年的销售中预算收入会增加965万元，其中鸡衣原体预算增加570万元，羊衣原体增加395万元</t>
  </si>
  <si>
    <t>毛利增加5.99%，主要原因是衣原体产品经过25年市场开拓以及集团客户的开发，25年销售比重会加大，相应的毛利额增多。</t>
  </si>
  <si>
    <t>工资186万元，差旅费83万元，服务费124万元，销售费率下降主要为销售费用增幅低于收入增幅。</t>
  </si>
  <si>
    <t>工资194万元，房租及物业费56万元，无形资产摊销49万元，管理费用费率下降主要为管理费用下降且收入增长。</t>
  </si>
  <si>
    <t xml:space="preserve">工资334万，场地租赁费120万，折旧摊销70万，研发费用增加226万：主要是场地租赁费增加120万
</t>
  </si>
  <si>
    <t>26年陆续需要投资1000万</t>
  </si>
  <si>
    <r>
      <rPr>
        <sz val="10"/>
        <color rgb="FF000000"/>
        <rFont val="微软雅黑"/>
        <charset val="134"/>
      </rPr>
      <t>1、25年1-10月份实际营业收入1289万，期间费用1161万，亏损900万，11-12月预估收入240万、期间费用252万、亏损170万。预计25年全年收入1529万，毛利730万，期间费用合计1413万，</t>
    </r>
    <r>
      <rPr>
        <b/>
        <sz val="10"/>
        <color rgb="FF000000"/>
        <rFont val="微软雅黑"/>
        <charset val="134"/>
      </rPr>
      <t>亏损1071万。</t>
    </r>
    <r>
      <rPr>
        <sz val="10"/>
        <color rgb="FF000000"/>
        <rFont val="微软雅黑"/>
        <charset val="134"/>
      </rPr>
      <t xml:space="preserve">
2、26年营业收入实现2579万（较25年增加金额1049万），26年预计期间费用1640万（较25年增加227万），</t>
    </r>
    <r>
      <rPr>
        <b/>
        <sz val="10"/>
        <color rgb="FF000000"/>
        <rFont val="微软雅黑"/>
        <charset val="134"/>
      </rPr>
      <t>26年预计亏损272万</t>
    </r>
    <r>
      <rPr>
        <sz val="10"/>
        <color rgb="FF000000"/>
        <rFont val="微软雅黑"/>
        <charset val="134"/>
      </rPr>
      <t>（较25年减少亏损798万)。
3、全年无重大投资活动，</t>
    </r>
    <r>
      <rPr>
        <b/>
        <sz val="10"/>
        <color rgb="FF000000"/>
        <rFont val="微软雅黑"/>
        <charset val="134"/>
      </rPr>
      <t>资金缺口1000万</t>
    </r>
    <r>
      <rPr>
        <sz val="10"/>
        <color rgb="FF000000"/>
        <rFont val="微软雅黑"/>
        <charset val="134"/>
      </rPr>
      <t>。</t>
    </r>
  </si>
  <si>
    <t>1、欠华派240万，又要花350万买专利，26年新增研发项目场地租赁费120万元，且日常运营仍亏损
2、研发投入占收入（26年收入同比25年暴增68.6%）四分之一，比很多上市公司都高。
3、一直说衣原体产品独树一帜却为何迟迟未上量</t>
  </si>
  <si>
    <r>
      <rPr>
        <sz val="12"/>
        <color rgb="FF000000"/>
        <rFont val="Arial"/>
        <charset val="0"/>
      </rPr>
      <t>26</t>
    </r>
    <r>
      <rPr>
        <sz val="12"/>
        <color rgb="FF000000"/>
        <rFont val="宋体"/>
        <charset val="0"/>
      </rPr>
      <t>年预算较25增加4423万，主要是传染病系列增加2720万，其他系列增长992万</t>
    </r>
  </si>
  <si>
    <t>26年预算毛利率同比增长4%，主要是传染病系列收入占比近七成，毛利率稳定在46%，服务系列和仪器系列毛利率都由负转正。</t>
  </si>
  <si>
    <r>
      <rPr>
        <sz val="12"/>
        <color rgb="FF000000"/>
        <rFont val="宋体"/>
        <charset val="0"/>
      </rPr>
      <t>费用前三：工资及奖金</t>
    </r>
    <r>
      <rPr>
        <sz val="12"/>
        <color rgb="FF000000"/>
        <rFont val="Arial"/>
        <charset val="0"/>
      </rPr>
      <t>425</t>
    </r>
    <r>
      <rPr>
        <sz val="12"/>
        <color rgb="FF000000"/>
        <rFont val="宋体"/>
        <charset val="0"/>
      </rPr>
      <t>万元、差旅费</t>
    </r>
    <r>
      <rPr>
        <sz val="12"/>
        <color rgb="FF000000"/>
        <rFont val="Arial"/>
        <charset val="0"/>
      </rPr>
      <t>81</t>
    </r>
    <r>
      <rPr>
        <sz val="12"/>
        <color rgb="FF000000"/>
        <rFont val="宋体"/>
        <charset val="0"/>
      </rPr>
      <t>万元、市场推广</t>
    </r>
    <r>
      <rPr>
        <sz val="12"/>
        <color rgb="FF000000"/>
        <rFont val="Arial"/>
        <charset val="0"/>
      </rPr>
      <t>44</t>
    </r>
    <r>
      <rPr>
        <sz val="12"/>
        <color rgb="FF000000"/>
        <rFont val="宋体"/>
        <charset val="0"/>
      </rPr>
      <t>万元。收入翻倍而费用微降4</t>
    </r>
    <r>
      <rPr>
        <sz val="12"/>
        <color rgb="FF000000"/>
        <rFont val="Arial"/>
        <charset val="0"/>
      </rPr>
      <t>%</t>
    </r>
    <r>
      <rPr>
        <sz val="12"/>
        <color rgb="FF000000"/>
        <rFont val="宋体"/>
        <charset val="0"/>
      </rPr>
      <t>，主要得益于渠道复用、集中参展及规模摊薄</t>
    </r>
  </si>
  <si>
    <r>
      <rPr>
        <sz val="12"/>
        <color rgb="FF000000"/>
        <rFont val="宋体"/>
        <charset val="0"/>
      </rPr>
      <t>费用前三：工资及奖金</t>
    </r>
    <r>
      <rPr>
        <sz val="12"/>
        <color rgb="FF000000"/>
        <rFont val="Arial"/>
        <charset val="0"/>
      </rPr>
      <t>311</t>
    </r>
    <r>
      <rPr>
        <sz val="12"/>
        <color rgb="FF000000"/>
        <rFont val="宋体"/>
        <charset val="0"/>
      </rPr>
      <t>万元、折旧</t>
    </r>
    <r>
      <rPr>
        <sz val="12"/>
        <color rgb="FF000000"/>
        <rFont val="Arial"/>
        <charset val="0"/>
      </rPr>
      <t>102</t>
    </r>
    <r>
      <rPr>
        <sz val="12"/>
        <color rgb="FF000000"/>
        <rFont val="宋体"/>
        <charset val="0"/>
      </rPr>
      <t>万元、差旅费</t>
    </r>
    <r>
      <rPr>
        <sz val="12"/>
        <color rgb="FF000000"/>
        <rFont val="Arial"/>
        <charset val="0"/>
      </rPr>
      <t>92</t>
    </r>
    <r>
      <rPr>
        <sz val="12"/>
        <color rgb="FF000000"/>
        <rFont val="宋体"/>
        <charset val="0"/>
      </rPr>
      <t>万元，管理费用总额较25年下降82万，核心节约在于管理人员薪酬总额下降101万</t>
    </r>
  </si>
  <si>
    <r>
      <rPr>
        <sz val="12"/>
        <color rgb="FF000000"/>
        <rFont val="宋体"/>
        <charset val="0"/>
      </rPr>
      <t>费用前三：临床实验费</t>
    </r>
    <r>
      <rPr>
        <sz val="12"/>
        <color rgb="FF000000"/>
        <rFont val="Arial"/>
        <charset val="0"/>
      </rPr>
      <t xml:space="preserve"> 703</t>
    </r>
    <r>
      <rPr>
        <sz val="12"/>
        <color rgb="FF000000"/>
        <rFont val="宋体"/>
        <charset val="0"/>
      </rPr>
      <t>万元、检测费</t>
    </r>
    <r>
      <rPr>
        <sz val="12"/>
        <color rgb="FF000000"/>
        <rFont val="Arial"/>
        <charset val="0"/>
      </rPr>
      <t xml:space="preserve"> 480</t>
    </r>
    <r>
      <rPr>
        <sz val="12"/>
        <color rgb="FF000000"/>
        <rFont val="宋体"/>
        <charset val="0"/>
      </rPr>
      <t>万元、工资及奖金</t>
    </r>
    <r>
      <rPr>
        <sz val="12"/>
        <color rgb="FF000000"/>
        <rFont val="Arial"/>
        <charset val="0"/>
      </rPr>
      <t xml:space="preserve"> 520</t>
    </r>
    <r>
      <rPr>
        <sz val="12"/>
        <color rgb="FF000000"/>
        <rFont val="宋体"/>
        <charset val="0"/>
      </rPr>
      <t>万元。</t>
    </r>
  </si>
  <si>
    <r>
      <rPr>
        <sz val="10"/>
        <color rgb="FF000000"/>
        <rFont val="Arial"/>
        <charset val="0"/>
      </rPr>
      <t>1</t>
    </r>
    <r>
      <rPr>
        <sz val="10"/>
        <color rgb="FF000000"/>
        <rFont val="宋体"/>
        <charset val="0"/>
      </rPr>
      <t>、</t>
    </r>
    <r>
      <rPr>
        <sz val="10"/>
        <color rgb="FF000000"/>
        <rFont val="Arial"/>
        <charset val="0"/>
      </rPr>
      <t>2025</t>
    </r>
    <r>
      <rPr>
        <sz val="10"/>
        <color rgb="FF000000"/>
        <rFont val="宋体"/>
        <charset val="0"/>
      </rPr>
      <t>年公司全年实现营业收入</t>
    </r>
    <r>
      <rPr>
        <sz val="10"/>
        <color rgb="FF000000"/>
        <rFont val="Arial"/>
        <charset val="0"/>
      </rPr>
      <t>5,267</t>
    </r>
    <r>
      <rPr>
        <sz val="10"/>
        <color rgb="FF000000"/>
        <rFont val="宋体"/>
        <charset val="0"/>
      </rPr>
      <t>万元</t>
    </r>
    <r>
      <rPr>
        <sz val="10"/>
        <color rgb="FF000000"/>
        <rFont val="Arial"/>
        <charset val="0"/>
      </rPr>
      <t xml:space="preserve"> </t>
    </r>
    <r>
      <rPr>
        <sz val="10"/>
        <color rgb="FF000000"/>
        <rFont val="宋体"/>
        <charset val="0"/>
      </rPr>
      <t>，其中</t>
    </r>
    <r>
      <rPr>
        <sz val="10"/>
        <color rgb="FF000000"/>
        <rFont val="Arial"/>
        <charset val="0"/>
      </rPr>
      <t>1-10</t>
    </r>
    <r>
      <rPr>
        <sz val="10"/>
        <color rgb="FF000000"/>
        <rFont val="宋体"/>
        <charset val="0"/>
      </rPr>
      <t>月实际收入为</t>
    </r>
    <r>
      <rPr>
        <sz val="10"/>
        <color rgb="FF000000"/>
        <rFont val="Arial"/>
        <charset val="0"/>
      </rPr>
      <t>3,870</t>
    </r>
    <r>
      <rPr>
        <sz val="10"/>
        <color rgb="FF000000"/>
        <rFont val="宋体"/>
        <charset val="0"/>
      </rPr>
      <t>万元</t>
    </r>
    <r>
      <rPr>
        <sz val="10"/>
        <color rgb="FF000000"/>
        <rFont val="Arial"/>
        <charset val="0"/>
      </rPr>
      <t xml:space="preserve"> </t>
    </r>
    <r>
      <rPr>
        <sz val="10"/>
        <color rgb="FF000000"/>
        <rFont val="宋体"/>
        <charset val="0"/>
      </rPr>
      <t>，</t>
    </r>
    <r>
      <rPr>
        <sz val="10"/>
        <color rgb="FF000000"/>
        <rFont val="Arial"/>
        <charset val="0"/>
      </rPr>
      <t>11-12</t>
    </r>
    <r>
      <rPr>
        <sz val="10"/>
        <color rgb="FF000000"/>
        <rFont val="宋体"/>
        <charset val="0"/>
      </rPr>
      <t>月预估收入为</t>
    </r>
    <r>
      <rPr>
        <sz val="10"/>
        <color rgb="FF000000"/>
        <rFont val="Arial"/>
        <charset val="0"/>
      </rPr>
      <t>1,397</t>
    </r>
    <r>
      <rPr>
        <sz val="10"/>
        <color rgb="FF000000"/>
        <rFont val="宋体"/>
        <charset val="0"/>
      </rPr>
      <t>万元</t>
    </r>
    <r>
      <rPr>
        <sz val="10"/>
        <color rgb="FF000000"/>
        <rFont val="Arial"/>
        <charset val="0"/>
      </rPr>
      <t xml:space="preserve"> </t>
    </r>
    <r>
      <rPr>
        <sz val="10"/>
        <color rgb="FF000000"/>
        <rFont val="宋体"/>
        <charset val="0"/>
      </rPr>
      <t>。期间费用（销售费用</t>
    </r>
    <r>
      <rPr>
        <sz val="10"/>
        <color rgb="FF000000"/>
        <rFont val="Arial"/>
        <charset val="0"/>
      </rPr>
      <t>687</t>
    </r>
    <r>
      <rPr>
        <sz val="10"/>
        <color rgb="FF000000"/>
        <rFont val="宋体"/>
        <charset val="0"/>
      </rPr>
      <t>万，管理费用</t>
    </r>
    <r>
      <rPr>
        <sz val="10"/>
        <color rgb="FF000000"/>
        <rFont val="Arial"/>
        <charset val="0"/>
      </rPr>
      <t>826</t>
    </r>
    <r>
      <rPr>
        <sz val="10"/>
        <color rgb="FF000000"/>
        <rFont val="宋体"/>
        <charset val="0"/>
      </rPr>
      <t>万，研发费用</t>
    </r>
    <r>
      <rPr>
        <sz val="10"/>
        <color rgb="FF000000"/>
        <rFont val="Arial"/>
        <charset val="0"/>
      </rPr>
      <t>802</t>
    </r>
    <r>
      <rPr>
        <sz val="10"/>
        <color rgb="FF000000"/>
        <rFont val="宋体"/>
        <charset val="0"/>
      </rPr>
      <t>万，财务费用</t>
    </r>
    <r>
      <rPr>
        <sz val="10"/>
        <color rgb="FF000000"/>
        <rFont val="Arial"/>
        <charset val="0"/>
      </rPr>
      <t>59</t>
    </r>
    <r>
      <rPr>
        <sz val="10"/>
        <color rgb="FF000000"/>
        <rFont val="宋体"/>
        <charset val="0"/>
      </rPr>
      <t>万），</t>
    </r>
    <r>
      <rPr>
        <sz val="10"/>
        <color rgb="FF000000"/>
        <rFont val="Arial"/>
        <charset val="0"/>
      </rPr>
      <t>2025</t>
    </r>
    <r>
      <rPr>
        <sz val="10"/>
        <color rgb="FF000000"/>
        <rFont val="宋体"/>
        <charset val="0"/>
      </rPr>
      <t>年全年预计净亏损为</t>
    </r>
    <r>
      <rPr>
        <sz val="10"/>
        <color rgb="FF000000"/>
        <rFont val="Arial"/>
        <charset val="0"/>
      </rPr>
      <t xml:space="preserve"> 670</t>
    </r>
    <r>
      <rPr>
        <sz val="10"/>
        <color rgb="FF000000"/>
        <rFont val="宋体"/>
        <charset val="0"/>
      </rPr>
      <t>万</t>
    </r>
    <r>
      <rPr>
        <sz val="10"/>
        <color rgb="FF000000"/>
        <rFont val="Arial"/>
        <charset val="0"/>
      </rPr>
      <t xml:space="preserve">
2</t>
    </r>
    <r>
      <rPr>
        <sz val="10"/>
        <color rgb="FF000000"/>
        <rFont val="宋体"/>
        <charset val="0"/>
      </rPr>
      <t>、</t>
    </r>
    <r>
      <rPr>
        <sz val="10"/>
        <color rgb="FF000000"/>
        <rFont val="Arial"/>
        <charset val="0"/>
      </rPr>
      <t>2026</t>
    </r>
    <r>
      <rPr>
        <sz val="10"/>
        <color rgb="FF000000"/>
        <rFont val="宋体"/>
        <charset val="0"/>
      </rPr>
      <t>年预算预计实现营业收入</t>
    </r>
    <r>
      <rPr>
        <sz val="10"/>
        <color rgb="FF000000"/>
        <rFont val="Arial"/>
        <charset val="0"/>
      </rPr>
      <t>9,690</t>
    </r>
    <r>
      <rPr>
        <sz val="10"/>
        <color rgb="FF000000"/>
        <rFont val="宋体"/>
        <charset val="0"/>
      </rPr>
      <t>万元</t>
    </r>
    <r>
      <rPr>
        <sz val="10"/>
        <color rgb="FF000000"/>
        <rFont val="Arial"/>
        <charset val="0"/>
      </rPr>
      <t xml:space="preserve"> </t>
    </r>
    <r>
      <rPr>
        <sz val="10"/>
        <color rgb="FF000000"/>
        <rFont val="宋体"/>
        <charset val="0"/>
      </rPr>
      <t>，期间费用合计</t>
    </r>
    <r>
      <rPr>
        <sz val="10"/>
        <color rgb="FF000000"/>
        <rFont val="Arial"/>
        <charset val="0"/>
      </rPr>
      <t>3,971</t>
    </r>
    <r>
      <rPr>
        <sz val="10"/>
        <color rgb="FF000000"/>
        <rFont val="宋体"/>
        <charset val="0"/>
      </rPr>
      <t>万元（销售费用</t>
    </r>
    <r>
      <rPr>
        <sz val="10"/>
        <color rgb="FF000000"/>
        <rFont val="Arial"/>
        <charset val="0"/>
      </rPr>
      <t>657</t>
    </r>
    <r>
      <rPr>
        <sz val="10"/>
        <color rgb="FF000000"/>
        <rFont val="宋体"/>
        <charset val="0"/>
      </rPr>
      <t>万，管理费用</t>
    </r>
    <r>
      <rPr>
        <sz val="10"/>
        <color rgb="FF000000"/>
        <rFont val="Arial"/>
        <charset val="0"/>
      </rPr>
      <t>744</t>
    </r>
    <r>
      <rPr>
        <sz val="10"/>
        <color rgb="FF000000"/>
        <rFont val="宋体"/>
        <charset val="0"/>
      </rPr>
      <t>万，研发费用</t>
    </r>
    <r>
      <rPr>
        <sz val="10"/>
        <color rgb="FF000000"/>
        <rFont val="Arial"/>
        <charset val="0"/>
      </rPr>
      <t>2526</t>
    </r>
    <r>
      <rPr>
        <sz val="10"/>
        <color rgb="FF000000"/>
        <rFont val="宋体"/>
        <charset val="0"/>
      </rPr>
      <t>万，财务费用</t>
    </r>
    <r>
      <rPr>
        <sz val="10"/>
        <color rgb="FF000000"/>
        <rFont val="Arial"/>
        <charset val="0"/>
      </rPr>
      <t>44</t>
    </r>
    <r>
      <rPr>
        <sz val="10"/>
        <color rgb="FF000000"/>
        <rFont val="宋体"/>
        <charset val="0"/>
      </rPr>
      <t>万）</t>
    </r>
    <r>
      <rPr>
        <sz val="10"/>
        <color rgb="FF000000"/>
        <rFont val="Arial"/>
        <charset val="0"/>
      </rPr>
      <t xml:space="preserve"> </t>
    </r>
    <r>
      <rPr>
        <sz val="10"/>
        <color rgb="FF000000"/>
        <rFont val="宋体"/>
        <charset val="0"/>
      </rPr>
      <t>，预计净亏损额为</t>
    </r>
    <r>
      <rPr>
        <sz val="10"/>
        <color rgb="FF000000"/>
        <rFont val="Arial"/>
        <charset val="0"/>
      </rPr>
      <t xml:space="preserve"> 285</t>
    </r>
    <r>
      <rPr>
        <sz val="10"/>
        <color rgb="FF000000"/>
        <rFont val="宋体"/>
        <charset val="0"/>
      </rPr>
      <t>万元</t>
    </r>
    <r>
      <rPr>
        <sz val="10"/>
        <color rgb="FF000000"/>
        <rFont val="Arial"/>
        <charset val="0"/>
      </rPr>
      <t xml:space="preserve"> </t>
    </r>
    <r>
      <rPr>
        <sz val="10"/>
        <color rgb="FF000000"/>
        <rFont val="宋体"/>
        <charset val="0"/>
      </rPr>
      <t>。</t>
    </r>
    <r>
      <rPr>
        <sz val="10"/>
        <color rgb="FF000000"/>
        <rFont val="Arial"/>
        <charset val="0"/>
      </rPr>
      <t xml:space="preserve">
3</t>
    </r>
    <r>
      <rPr>
        <sz val="10"/>
        <color rgb="FF000000"/>
        <rFont val="宋体"/>
        <charset val="0"/>
      </rPr>
      <t>、</t>
    </r>
    <r>
      <rPr>
        <sz val="10"/>
        <color rgb="FF000000"/>
        <rFont val="Arial"/>
        <charset val="0"/>
      </rPr>
      <t>2025</t>
    </r>
    <r>
      <rPr>
        <sz val="10"/>
        <color rgb="FF000000"/>
        <rFont val="宋体"/>
        <charset val="0"/>
      </rPr>
      <t>年收入主要构成为集团外的传染病系列（</t>
    </r>
    <r>
      <rPr>
        <sz val="10"/>
        <color rgb="FF000000"/>
        <rFont val="Arial"/>
        <charset val="0"/>
      </rPr>
      <t>3,953</t>
    </r>
    <r>
      <rPr>
        <sz val="10"/>
        <color rgb="FF000000"/>
        <rFont val="宋体"/>
        <charset val="0"/>
      </rPr>
      <t>万元，占比约</t>
    </r>
    <r>
      <rPr>
        <sz val="10"/>
        <color rgb="FF000000"/>
        <rFont val="Arial"/>
        <charset val="0"/>
      </rPr>
      <t>75%</t>
    </r>
    <r>
      <rPr>
        <sz val="10"/>
        <color rgb="FF000000"/>
        <rFont val="宋体"/>
        <charset val="0"/>
      </rPr>
      <t>）和毒品系列（</t>
    </r>
    <r>
      <rPr>
        <sz val="10"/>
        <color rgb="FF000000"/>
        <rFont val="Arial"/>
        <charset val="0"/>
      </rPr>
      <t>695</t>
    </r>
    <r>
      <rPr>
        <sz val="10"/>
        <color rgb="FF000000"/>
        <rFont val="宋体"/>
        <charset val="0"/>
      </rPr>
      <t>万元，占比约</t>
    </r>
    <r>
      <rPr>
        <sz val="10"/>
        <color rgb="FF000000"/>
        <rFont val="Arial"/>
        <charset val="0"/>
      </rPr>
      <t>13%，毛利率34%</t>
    </r>
    <r>
      <rPr>
        <sz val="10"/>
        <color rgb="FF000000"/>
        <rFont val="宋体"/>
        <charset val="0"/>
      </rPr>
      <t>）</t>
    </r>
    <r>
      <rPr>
        <sz val="10"/>
        <color rgb="FF000000"/>
        <rFont val="Arial"/>
        <charset val="0"/>
      </rPr>
      <t xml:space="preserve"> </t>
    </r>
    <r>
      <rPr>
        <sz val="10"/>
        <color rgb="FF000000"/>
        <rFont val="宋体"/>
        <charset val="0"/>
      </rPr>
      <t>。</t>
    </r>
    <r>
      <rPr>
        <sz val="10"/>
        <color rgb="FF000000"/>
        <rFont val="Arial"/>
        <charset val="0"/>
      </rPr>
      <t>2026</t>
    </r>
    <r>
      <rPr>
        <sz val="10"/>
        <color rgb="FF000000"/>
        <rFont val="宋体"/>
        <charset val="0"/>
      </rPr>
      <t>年收入大幅提升的核心驱动板块仍是集团外传染病系列（</t>
    </r>
    <r>
      <rPr>
        <sz val="10"/>
        <color rgb="FF000000"/>
        <rFont val="Arial"/>
        <charset val="0"/>
      </rPr>
      <t>6,6738</t>
    </r>
    <r>
      <rPr>
        <sz val="10"/>
        <color rgb="FF000000"/>
        <rFont val="宋体"/>
        <charset val="0"/>
      </rPr>
      <t>万元）</t>
    </r>
    <r>
      <rPr>
        <sz val="10"/>
        <color rgb="FF000000"/>
        <rFont val="Arial"/>
        <charset val="0"/>
      </rPr>
      <t xml:space="preserve"> </t>
    </r>
    <r>
      <rPr>
        <sz val="10"/>
        <color rgb="FF000000"/>
        <rFont val="宋体"/>
        <charset val="0"/>
      </rPr>
      <t>，同时，其他系列作为新增业务，收入预算</t>
    </r>
    <r>
      <rPr>
        <sz val="10"/>
        <color rgb="FF000000"/>
        <rFont val="Arial"/>
        <charset val="0"/>
      </rPr>
      <t>992</t>
    </r>
    <r>
      <rPr>
        <sz val="10"/>
        <color rgb="FF000000"/>
        <rFont val="宋体"/>
        <charset val="0"/>
      </rPr>
      <t>万元</t>
    </r>
    <r>
      <rPr>
        <sz val="10"/>
        <color rgb="FF000000"/>
        <rFont val="Arial"/>
        <charset val="0"/>
      </rPr>
      <t xml:space="preserve"> </t>
    </r>
    <r>
      <rPr>
        <sz val="10"/>
        <color rgb="FF000000"/>
        <rFont val="宋体"/>
        <charset val="0"/>
      </rPr>
      <t>，毒品系列预算收入达</t>
    </r>
    <r>
      <rPr>
        <sz val="10"/>
        <color rgb="FF000000"/>
        <rFont val="Arial"/>
        <charset val="0"/>
      </rPr>
      <t>1,124</t>
    </r>
    <r>
      <rPr>
        <sz val="10"/>
        <color rgb="FF000000"/>
        <rFont val="宋体"/>
        <charset val="0"/>
      </rPr>
      <t>万元。</t>
    </r>
  </si>
  <si>
    <t xml:space="preserve">1、收入大幅增长但净利润仍为负。作为集团内少数能实现盈利的公司，是否能接受26年亏损
2、本期研发投入大。当前高额研发投入是否必要？是否存在资源错配？临床试验703万元对应的是哪几个项目的推进？预计何时获批上市？投资回报周期多长？注册费363万元涉及哪些产品注册？
3、建议控制研发节奏，优先提升运营效率
</t>
  </si>
  <si>
    <t>2026年收入的增长主要为非处方业务，具体涉及新冠（检测）与沃尔玛渠道的生育类产品</t>
  </si>
  <si>
    <t>2026年毛利增长，主要是美国衡健降低了对康赋的传染病系列产品的售价。</t>
  </si>
  <si>
    <t>主要费用项目为：人力成本1550万元，市场营销推广611万元，佣金185万元，市场调研89万元</t>
  </si>
  <si>
    <t>主要费用项目为：人力成本约1322万元，租金278万元，存货盘点差异274万元，信息化建设273万元。</t>
  </si>
  <si>
    <t xml:space="preserve">1 2025年全年收入预计22653万元，毛利率29%，销售费用+管理费用约4540万元；净利润1570万元，净利润率约6.9%。
2 2026年预计实现收入27208万元，毛利率35%，销售费用+管理费用约5398万元，其中人力成本约2800万元，净利润预计3605万元，净利率约13%。
3 2026年收入的增长主要为非处方业务，具体涉及新冠（检测）与沃尔玛渠道的生育类产品。
4 毛利率的增长，主要为美国衡健降低对康赋的传染病系列产品的售价。
</t>
  </si>
  <si>
    <t>公司预计将在2026年正式启动销售业务</t>
  </si>
  <si>
    <r>
      <rPr>
        <sz val="12"/>
        <color rgb="FF000000"/>
        <rFont val="Arial"/>
        <charset val="134"/>
      </rPr>
      <t>主要费用项目为：人力成本全年预计</t>
    </r>
    <r>
      <rPr>
        <sz val="11"/>
        <color rgb="FF000000"/>
        <rFont val="Arial"/>
        <charset val="134"/>
      </rPr>
      <t>57万元，2025年9月公司开始招录员工并计发薪酬；展会费24万元，差旅费19万元，因2026年公司正式启动销售业务布局，展会相关投入和职工差旅费用也将相应增加</t>
    </r>
  </si>
  <si>
    <t>主要费用项目为：房租与物业费全年共计28万元，其中房租租金每月保持不变，预计物业费将上涨5%；人力成本全年预计12万元，2026年2月公司管理部门开始招录员工并计发薪酬；服务费全年预计7.8万元，同比降幅 6%，主要因开办公司所需的各项相关服务已于2025年完成，本年度无相关重复支出。</t>
  </si>
  <si>
    <t>存在资金缺口，预计2026年下半年需要美国衡健借款200万元人民币</t>
  </si>
  <si>
    <t>菲律宾衡健预计将于2026年正式启动销售，全年预计营业收入为240万元。其中体外诊断试剂销售185万元、体外诊断仪器销售55万元。
2026年期间费用预计将发生166万元。销售费用111万元，其中人力成本约57万元、展会费24万元；管理费用50万元，其中人力成本约12万元、房租与物业费约28万元；财务费用5万元。
预计2026年净利润为-142万元，与2025年相比营收增加240万元，期间费用增加118万元。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</si>
</sst>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_ ;[Red]\-#,##0.00\ "/>
    <numFmt numFmtId="178" formatCode="#,##0_ "/>
    <numFmt numFmtId="179" formatCode="#,##0.00_ "/>
    <numFmt numFmtId="180" formatCode="0.00_);[Red]\(0.00\)"/>
    <numFmt numFmtId="181" formatCode="_ * #,##0_ ;_ * \-#,##0_ ;_ * &quot;-&quot;??_ ;_ @_ "/>
  </numFmts>
  <fonts count="83">
    <font>
      <sz val="12"/>
      <color theme="1"/>
      <name val="等线"/>
      <charset val="134"/>
      <scheme val="minor"/>
    </font>
    <font>
      <sz val="20"/>
      <color rgb="FF000000"/>
      <name val="微软雅黑"/>
      <charset val="134"/>
    </font>
    <font>
      <sz val="11"/>
      <color rgb="FF000000"/>
      <name val="微软雅黑"/>
      <charset val="134"/>
    </font>
    <font>
      <b/>
      <sz val="12"/>
      <color rgb="FF000000"/>
      <name val="微软雅黑"/>
      <charset val="134"/>
    </font>
    <font>
      <b/>
      <sz val="12"/>
      <name val="微软雅黑"/>
      <charset val="134"/>
    </font>
    <font>
      <sz val="12"/>
      <name val="微软雅黑"/>
      <charset val="134"/>
    </font>
    <font>
      <b/>
      <sz val="10"/>
      <color rgb="FF000000"/>
      <name val="微软雅黑"/>
      <charset val="134"/>
    </font>
    <font>
      <sz val="12"/>
      <color rgb="FF000000"/>
      <name val="微软雅黑"/>
      <charset val="134"/>
    </font>
    <font>
      <sz val="10"/>
      <color rgb="FF000000"/>
      <name val="微软雅黑"/>
      <charset val="134"/>
    </font>
    <font>
      <sz val="12"/>
      <color theme="1"/>
      <name val="微软雅黑"/>
      <charset val="134"/>
    </font>
    <font>
      <b/>
      <sz val="20"/>
      <color rgb="FF000000"/>
      <name val="微软雅黑"/>
      <charset val="134"/>
    </font>
    <font>
      <b/>
      <sz val="11"/>
      <color rgb="FF000000"/>
      <name val="微软雅黑"/>
      <charset val="134"/>
    </font>
    <font>
      <b/>
      <sz val="16"/>
      <color rgb="FF000000"/>
      <name val="微软雅黑"/>
      <charset val="134"/>
    </font>
    <font>
      <b/>
      <sz val="9"/>
      <color rgb="FF000000"/>
      <name val="微软雅黑"/>
      <charset val="134"/>
    </font>
    <font>
      <b/>
      <sz val="11"/>
      <color rgb="FFEA3324"/>
      <name val="微软雅黑"/>
      <charset val="134"/>
    </font>
    <font>
      <b/>
      <sz val="11"/>
      <color rgb="FF000000"/>
      <name val="Arial"/>
      <charset val="134"/>
    </font>
    <font>
      <b/>
      <sz val="10"/>
      <color rgb="FF000000"/>
      <name val="Arial"/>
      <charset val="134"/>
    </font>
    <font>
      <b/>
      <sz val="11"/>
      <color rgb="FFFF0000"/>
      <name val="Arial"/>
      <charset val="134"/>
    </font>
    <font>
      <b/>
      <sz val="12"/>
      <color rgb="FF000000"/>
      <name val="Arial"/>
      <charset val="134"/>
    </font>
    <font>
      <b/>
      <sz val="12"/>
      <name val="Arial"/>
      <charset val="134"/>
    </font>
    <font>
      <sz val="12"/>
      <name val="Arial"/>
      <charset val="134"/>
    </font>
    <font>
      <sz val="10"/>
      <name val="Arial"/>
      <charset val="134"/>
    </font>
    <font>
      <b/>
      <sz val="10"/>
      <name val="Arial"/>
      <charset val="134"/>
    </font>
    <font>
      <sz val="12"/>
      <color rgb="FF000000"/>
      <name val="Arial"/>
      <charset val="134"/>
    </font>
    <font>
      <b/>
      <sz val="11"/>
      <name val="Arial"/>
      <charset val="134"/>
    </font>
    <font>
      <sz val="10"/>
      <color rgb="FF000000"/>
      <name val="Arial"/>
      <charset val="134"/>
    </font>
    <font>
      <sz val="12"/>
      <color rgb="FF000000"/>
      <name val="等线"/>
      <charset val="134"/>
    </font>
    <font>
      <sz val="12"/>
      <color rgb="FF000000"/>
      <name val="等线"/>
      <charset val="134"/>
      <scheme val="minor"/>
    </font>
    <font>
      <sz val="10"/>
      <color rgb="FF000000"/>
      <name val="等线"/>
      <charset val="134"/>
      <scheme val="minor"/>
    </font>
    <font>
      <sz val="10"/>
      <color rgb="FF000000"/>
      <name val="宋体"/>
      <charset val="134"/>
    </font>
    <font>
      <sz val="10"/>
      <color rgb="FF000000"/>
      <name val="等线"/>
      <charset val="134"/>
    </font>
    <font>
      <sz val="11"/>
      <color rgb="FF000000"/>
      <name val="Arial"/>
      <charset val="134"/>
    </font>
    <font>
      <sz val="10.5"/>
      <color rgb="FF000000"/>
      <name val="宋体"/>
      <charset val="134"/>
    </font>
    <font>
      <sz val="12"/>
      <name val="Arial"/>
      <charset val="0"/>
    </font>
    <font>
      <sz val="10.5"/>
      <color theme="1"/>
      <name val="宋体"/>
      <charset val="134"/>
    </font>
    <font>
      <sz val="12"/>
      <color rgb="FF000000"/>
      <name val="Arial"/>
      <charset val="0"/>
    </font>
    <font>
      <sz val="12"/>
      <name val="宋体"/>
      <charset val="134"/>
    </font>
    <font>
      <sz val="12"/>
      <color rgb="FF000000"/>
      <name val="宋体"/>
      <charset val="0"/>
    </font>
    <font>
      <sz val="10"/>
      <color rgb="FF000000"/>
      <name val="Segoe UI"/>
      <charset val="0"/>
    </font>
    <font>
      <sz val="10"/>
      <color rgb="FF000000"/>
      <name val="Arial"/>
      <charset val="0"/>
    </font>
    <font>
      <sz val="10"/>
      <color rgb="FF333333"/>
      <name val="Arial"/>
      <charset val="134"/>
    </font>
    <font>
      <sz val="12"/>
      <color theme="1"/>
      <name val="Arial"/>
      <charset val="134"/>
    </font>
    <font>
      <b/>
      <sz val="10"/>
      <color rgb="FFEA3324"/>
      <name val="微软雅黑"/>
      <charset val="134"/>
    </font>
    <font>
      <b/>
      <sz val="9"/>
      <color rgb="FF000000"/>
      <name val="Arial"/>
      <charset val="134"/>
    </font>
    <font>
      <sz val="11"/>
      <name val="微软雅黑"/>
      <charset val="134"/>
    </font>
    <font>
      <sz val="10"/>
      <name val="微软雅黑"/>
      <charset val="134"/>
    </font>
    <font>
      <b/>
      <sz val="10"/>
      <name val="微软雅黑"/>
      <charset val="134"/>
    </font>
    <font>
      <b/>
      <sz val="11"/>
      <name val="微软雅黑"/>
      <charset val="134"/>
    </font>
    <font>
      <sz val="10"/>
      <color rgb="FFFF0000"/>
      <name val="微软雅黑"/>
      <charset val="134"/>
    </font>
    <font>
      <sz val="12"/>
      <color rgb="FFFF0000"/>
      <name val="微软雅黑"/>
      <charset val="134"/>
    </font>
    <font>
      <sz val="11"/>
      <color theme="1"/>
      <name val="微软雅黑"/>
      <charset val="134"/>
    </font>
    <font>
      <sz val="10.5"/>
      <color rgb="FF000000"/>
      <name val="微软雅黑"/>
      <charset val="134"/>
    </font>
    <font>
      <sz val="11"/>
      <name val="微软雅黑"/>
      <charset val="0"/>
    </font>
    <font>
      <sz val="11"/>
      <color rgb="FF000000"/>
      <name val="微软雅黑"/>
      <charset val="0"/>
    </font>
    <font>
      <sz val="10"/>
      <color rgb="FF000000"/>
      <name val="微软雅黑"/>
      <charset val="0"/>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rgb="FF000000"/>
      <name val="宋体"/>
      <charset val="0"/>
    </font>
    <font>
      <b/>
      <sz val="10"/>
      <color rgb="FF000000"/>
      <name val="宋体"/>
      <charset val="134"/>
    </font>
    <font>
      <b/>
      <sz val="10"/>
      <color rgb="FF000000"/>
      <name val="微软雅黑"/>
      <charset val="0"/>
    </font>
    <font>
      <sz val="10"/>
      <color rgb="FFFF0000"/>
      <name val="微软雅黑"/>
      <charset val="0"/>
    </font>
    <font>
      <b/>
      <sz val="11"/>
      <color rgb="FFFF0000"/>
      <name val="微软雅黑"/>
      <charset val="134"/>
    </font>
    <font>
      <sz val="10"/>
      <color rgb="FF000000"/>
      <name val="Times New Roman"/>
      <charset val="134"/>
    </font>
    <font>
      <sz val="9"/>
      <name val="宋体"/>
      <charset val="134"/>
    </font>
    <font>
      <b/>
      <sz val="9"/>
      <name val="宋体"/>
      <charset val="134"/>
    </font>
  </fonts>
  <fills count="39">
    <fill>
      <patternFill patternType="none"/>
    </fill>
    <fill>
      <patternFill patternType="gray125"/>
    </fill>
    <fill>
      <patternFill patternType="solid">
        <fgColor rgb="FFFFFF00"/>
        <bgColor indexed="64"/>
      </patternFill>
    </fill>
    <fill>
      <patternFill patternType="solid">
        <fgColor rgb="FFB8CCE4"/>
        <bgColor indexed="64"/>
      </patternFill>
    </fill>
    <fill>
      <patternFill patternType="solid">
        <fgColor rgb="FFDBE5F1"/>
        <bgColor indexed="64"/>
      </patternFill>
    </fill>
    <fill>
      <patternFill patternType="solid">
        <fgColor rgb="FFFFF2CC"/>
        <bgColor indexed="64"/>
      </patternFill>
    </fill>
    <fill>
      <patternFill patternType="solid">
        <fgColor rgb="FFDEEBF7"/>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5" fillId="0" borderId="0" applyFont="0" applyFill="0" applyBorder="0" applyAlignment="0" applyProtection="0">
      <alignment vertical="center"/>
    </xf>
    <xf numFmtId="44" fontId="55" fillId="0" borderId="0" applyFont="0" applyFill="0" applyBorder="0" applyAlignment="0" applyProtection="0">
      <alignment vertical="center"/>
    </xf>
    <xf numFmtId="9" fontId="55" fillId="0" borderId="0">
      <alignment vertical="center"/>
    </xf>
    <xf numFmtId="41" fontId="55" fillId="0" borderId="0" applyFont="0" applyFill="0" applyBorder="0" applyAlignment="0" applyProtection="0">
      <alignment vertical="center"/>
    </xf>
    <xf numFmtId="42" fontId="55" fillId="0" borderId="0" applyFont="0" applyFill="0" applyBorder="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5" fillId="8" borderId="14" applyNumberFormat="0" applyFont="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1" fillId="0" borderId="15" applyNumberFormat="0" applyFill="0" applyAlignment="0" applyProtection="0">
      <alignment vertical="center"/>
    </xf>
    <xf numFmtId="0" fontId="62" fillId="0" borderId="15" applyNumberFormat="0" applyFill="0" applyAlignment="0" applyProtection="0">
      <alignment vertical="center"/>
    </xf>
    <xf numFmtId="0" fontId="63" fillId="0" borderId="16" applyNumberFormat="0" applyFill="0" applyAlignment="0" applyProtection="0">
      <alignment vertical="center"/>
    </xf>
    <xf numFmtId="0" fontId="63" fillId="0" borderId="0" applyNumberFormat="0" applyFill="0" applyBorder="0" applyAlignment="0" applyProtection="0">
      <alignment vertical="center"/>
    </xf>
    <xf numFmtId="0" fontId="64" fillId="9" borderId="17" applyNumberFormat="0" applyAlignment="0" applyProtection="0">
      <alignment vertical="center"/>
    </xf>
    <xf numFmtId="0" fontId="65" fillId="10" borderId="18" applyNumberFormat="0" applyAlignment="0" applyProtection="0">
      <alignment vertical="center"/>
    </xf>
    <xf numFmtId="0" fontId="66" fillId="10" borderId="17" applyNumberFormat="0" applyAlignment="0" applyProtection="0">
      <alignment vertical="center"/>
    </xf>
    <xf numFmtId="0" fontId="67" fillId="11" borderId="19" applyNumberFormat="0" applyAlignment="0" applyProtection="0">
      <alignment vertical="center"/>
    </xf>
    <xf numFmtId="0" fontId="68" fillId="0" borderId="20" applyNumberFormat="0" applyFill="0" applyAlignment="0" applyProtection="0">
      <alignment vertical="center"/>
    </xf>
    <xf numFmtId="0" fontId="69" fillId="0" borderId="21" applyNumberFormat="0" applyFill="0" applyAlignment="0" applyProtection="0">
      <alignment vertical="center"/>
    </xf>
    <xf numFmtId="0" fontId="70" fillId="12" borderId="0" applyNumberFormat="0" applyBorder="0" applyAlignment="0" applyProtection="0">
      <alignment vertical="center"/>
    </xf>
    <xf numFmtId="0" fontId="71" fillId="13" borderId="0" applyNumberFormat="0" applyBorder="0" applyAlignment="0" applyProtection="0">
      <alignment vertical="center"/>
    </xf>
    <xf numFmtId="0" fontId="72" fillId="14" borderId="0" applyNumberFormat="0" applyBorder="0" applyAlignment="0" applyProtection="0">
      <alignment vertical="center"/>
    </xf>
    <xf numFmtId="0" fontId="73" fillId="15" borderId="0" applyNumberFormat="0" applyBorder="0" applyAlignment="0" applyProtection="0">
      <alignment vertical="center"/>
    </xf>
    <xf numFmtId="0" fontId="74" fillId="16" borderId="0" applyNumberFormat="0" applyBorder="0" applyAlignment="0" applyProtection="0">
      <alignment vertical="center"/>
    </xf>
    <xf numFmtId="0" fontId="74" fillId="17" borderId="0" applyNumberFormat="0" applyBorder="0" applyAlignment="0" applyProtection="0">
      <alignment vertical="center"/>
    </xf>
    <xf numFmtId="0" fontId="73" fillId="18" borderId="0" applyNumberFormat="0" applyBorder="0" applyAlignment="0" applyProtection="0">
      <alignment vertical="center"/>
    </xf>
    <xf numFmtId="0" fontId="73" fillId="19" borderId="0" applyNumberFormat="0" applyBorder="0" applyAlignment="0" applyProtection="0">
      <alignment vertical="center"/>
    </xf>
    <xf numFmtId="0" fontId="74" fillId="20" borderId="0" applyNumberFormat="0" applyBorder="0" applyAlignment="0" applyProtection="0">
      <alignment vertical="center"/>
    </xf>
    <xf numFmtId="0" fontId="74" fillId="21" borderId="0" applyNumberFormat="0" applyBorder="0" applyAlignment="0" applyProtection="0">
      <alignment vertical="center"/>
    </xf>
    <xf numFmtId="0" fontId="73" fillId="22" borderId="0" applyNumberFormat="0" applyBorder="0" applyAlignment="0" applyProtection="0">
      <alignment vertical="center"/>
    </xf>
    <xf numFmtId="0" fontId="73" fillId="23" borderId="0" applyNumberFormat="0" applyBorder="0" applyAlignment="0" applyProtection="0">
      <alignment vertical="center"/>
    </xf>
    <xf numFmtId="0" fontId="74" fillId="24" borderId="0" applyNumberFormat="0" applyBorder="0" applyAlignment="0" applyProtection="0">
      <alignment vertical="center"/>
    </xf>
    <xf numFmtId="0" fontId="74" fillId="25" borderId="0" applyNumberFormat="0" applyBorder="0" applyAlignment="0" applyProtection="0">
      <alignment vertical="center"/>
    </xf>
    <xf numFmtId="0" fontId="73" fillId="26" borderId="0" applyNumberFormat="0" applyBorder="0" applyAlignment="0" applyProtection="0">
      <alignment vertical="center"/>
    </xf>
    <xf numFmtId="0" fontId="73" fillId="27" borderId="0" applyNumberFormat="0" applyBorder="0" applyAlignment="0" applyProtection="0">
      <alignment vertical="center"/>
    </xf>
    <xf numFmtId="0" fontId="74" fillId="28" borderId="0" applyNumberFormat="0" applyBorder="0" applyAlignment="0" applyProtection="0">
      <alignment vertical="center"/>
    </xf>
    <xf numFmtId="0" fontId="74" fillId="29" borderId="0" applyNumberFormat="0" applyBorder="0" applyAlignment="0" applyProtection="0">
      <alignment vertical="center"/>
    </xf>
    <xf numFmtId="0" fontId="73" fillId="30" borderId="0" applyNumberFormat="0" applyBorder="0" applyAlignment="0" applyProtection="0">
      <alignment vertical="center"/>
    </xf>
    <xf numFmtId="0" fontId="73" fillId="31" borderId="0" applyNumberFormat="0" applyBorder="0" applyAlignment="0" applyProtection="0">
      <alignment vertical="center"/>
    </xf>
    <xf numFmtId="0" fontId="74" fillId="32" borderId="0" applyNumberFormat="0" applyBorder="0" applyAlignment="0" applyProtection="0">
      <alignment vertical="center"/>
    </xf>
    <xf numFmtId="0" fontId="74" fillId="33" borderId="0" applyNumberFormat="0" applyBorder="0" applyAlignment="0" applyProtection="0">
      <alignment vertical="center"/>
    </xf>
    <xf numFmtId="0" fontId="73" fillId="34" borderId="0" applyNumberFormat="0" applyBorder="0" applyAlignment="0" applyProtection="0">
      <alignment vertical="center"/>
    </xf>
    <xf numFmtId="0" fontId="73" fillId="35" borderId="0" applyNumberFormat="0" applyBorder="0" applyAlignment="0" applyProtection="0">
      <alignment vertical="center"/>
    </xf>
    <xf numFmtId="0" fontId="74" fillId="36" borderId="0" applyNumberFormat="0" applyBorder="0" applyAlignment="0" applyProtection="0">
      <alignment vertical="center"/>
    </xf>
    <xf numFmtId="0" fontId="74" fillId="37" borderId="0" applyNumberFormat="0" applyBorder="0" applyAlignment="0" applyProtection="0">
      <alignment vertical="center"/>
    </xf>
    <xf numFmtId="0" fontId="73" fillId="38" borderId="0" applyNumberFormat="0" applyBorder="0" applyAlignment="0" applyProtection="0">
      <alignment vertical="center"/>
    </xf>
  </cellStyleXfs>
  <cellXfs count="296">
    <xf numFmtId="0" fontId="0" fillId="0" borderId="0" xfId="0" applyAlignment="1">
      <alignment vertical="center"/>
    </xf>
    <xf numFmtId="0" fontId="1" fillId="0" borderId="0" xfId="0" applyFont="1" applyAlignment="1">
      <alignment horizontal="center" vertical="center"/>
    </xf>
    <xf numFmtId="0" fontId="2" fillId="0" borderId="0" xfId="0" applyFont="1" applyAlignment="1">
      <alignment vertical="center"/>
    </xf>
    <xf numFmtId="0" fontId="3" fillId="0" borderId="0" xfId="0" applyFont="1" applyAlignment="1">
      <alignment horizontal="center" vertical="center"/>
    </xf>
    <xf numFmtId="0" fontId="3" fillId="2" borderId="0" xfId="0" applyFont="1" applyFill="1" applyAlignment="1">
      <alignment vertical="center"/>
    </xf>
    <xf numFmtId="0" fontId="4" fillId="0" borderId="0" xfId="0" applyFont="1" applyAlignment="1">
      <alignment vertical="center"/>
    </xf>
    <xf numFmtId="0" fontId="5" fillId="0" borderId="0" xfId="0" applyFont="1" applyAlignment="1">
      <alignment vertical="center"/>
    </xf>
    <xf numFmtId="2" fontId="5" fillId="0" borderId="0" xfId="0" applyNumberFormat="1" applyFont="1" applyAlignment="1">
      <alignment vertical="center"/>
    </xf>
    <xf numFmtId="0" fontId="5" fillId="0" borderId="0" xfId="0" applyFont="1" applyAlignment="1">
      <alignment horizontal="center" vertical="center"/>
    </xf>
    <xf numFmtId="176" fontId="5" fillId="0" borderId="0" xfId="0" applyNumberFormat="1" applyFont="1" applyAlignment="1">
      <alignment vertical="center"/>
    </xf>
    <xf numFmtId="0" fontId="6" fillId="0" borderId="0" xfId="0" applyFont="1" applyAlignment="1">
      <alignment horizontal="center" vertical="center"/>
    </xf>
    <xf numFmtId="0" fontId="7" fillId="0" borderId="0" xfId="0" applyFont="1" applyAlignment="1">
      <alignment vertical="center"/>
    </xf>
    <xf numFmtId="10" fontId="8" fillId="0" borderId="0" xfId="0" applyNumberFormat="1" applyFont="1" applyAlignment="1">
      <alignment horizontal="center" vertical="center" wrapText="1"/>
    </xf>
    <xf numFmtId="0" fontId="8" fillId="0" borderId="0" xfId="0" applyFont="1" applyAlignment="1">
      <alignment horizontal="center" vertical="center" wrapText="1"/>
    </xf>
    <xf numFmtId="177" fontId="8" fillId="0" borderId="0" xfId="0" applyNumberFormat="1" applyFont="1" applyAlignment="1">
      <alignment horizontal="center" vertical="center" wrapText="1"/>
    </xf>
    <xf numFmtId="0" fontId="9" fillId="0" borderId="0" xfId="0" applyFont="1" applyAlignment="1">
      <alignment vertical="center"/>
    </xf>
    <xf numFmtId="176" fontId="8" fillId="0" borderId="0" xfId="0" applyNumberFormat="1" applyFont="1" applyAlignment="1">
      <alignment horizontal="center" vertical="center" wrapText="1"/>
    </xf>
    <xf numFmtId="0" fontId="8" fillId="0" borderId="0" xfId="0" applyFont="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center" vertical="center"/>
    </xf>
    <xf numFmtId="0" fontId="11" fillId="0" borderId="0" xfId="0" applyFont="1" applyAlignment="1">
      <alignment vertical="center"/>
    </xf>
    <xf numFmtId="2" fontId="12" fillId="0" borderId="0" xfId="0" applyNumberFormat="1" applyFont="1" applyAlignment="1">
      <alignment horizontal="center" vertical="center" wrapText="1"/>
    </xf>
    <xf numFmtId="2" fontId="13" fillId="0" borderId="0" xfId="0" applyNumberFormat="1" applyFont="1" applyAlignment="1">
      <alignment horizontal="center" vertical="center" wrapText="1"/>
    </xf>
    <xf numFmtId="10" fontId="12" fillId="0" borderId="0" xfId="0" applyNumberFormat="1" applyFont="1" applyAlignment="1">
      <alignment horizontal="center" vertical="center" wrapText="1"/>
    </xf>
    <xf numFmtId="0" fontId="12" fillId="0" borderId="0" xfId="0" applyFont="1" applyAlignment="1">
      <alignment horizontal="center" vertical="center" wrapText="1"/>
    </xf>
    <xf numFmtId="177" fontId="12" fillId="0" borderId="0" xfId="0" applyNumberFormat="1" applyFont="1" applyAlignment="1">
      <alignment horizontal="center" vertical="center" wrapText="1"/>
    </xf>
    <xf numFmtId="176" fontId="12" fillId="0" borderId="0" xfId="0" applyNumberFormat="1" applyFont="1" applyAlignment="1">
      <alignment horizontal="center"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11" fillId="0" borderId="0" xfId="0" applyFont="1" applyAlignment="1">
      <alignment horizontal="center" vertical="center" wrapText="1"/>
    </xf>
    <xf numFmtId="0" fontId="14" fillId="0" borderId="0" xfId="0" applyFont="1" applyAlignment="1">
      <alignment horizontal="center" vertical="center" wrapText="1"/>
    </xf>
    <xf numFmtId="0" fontId="11" fillId="3" borderId="1" xfId="0" applyFont="1" applyFill="1" applyBorder="1" applyAlignment="1">
      <alignment horizontal="center" vertical="center"/>
    </xf>
    <xf numFmtId="0" fontId="15" fillId="3" borderId="1" xfId="0" applyFont="1" applyFill="1" applyBorder="1" applyAlignment="1">
      <alignment horizontal="center" vertical="center"/>
    </xf>
    <xf numFmtId="0" fontId="15" fillId="3" borderId="1" xfId="0" applyFont="1" applyFill="1" applyBorder="1" applyAlignment="1">
      <alignment horizontal="center" vertical="center" wrapText="1"/>
    </xf>
    <xf numFmtId="2" fontId="15" fillId="3" borderId="1" xfId="0" applyNumberFormat="1" applyFont="1" applyFill="1" applyBorder="1" applyAlignment="1">
      <alignment horizontal="center" vertical="center" wrapText="1"/>
    </xf>
    <xf numFmtId="10" fontId="15" fillId="3" borderId="1" xfId="0" applyNumberFormat="1" applyFont="1" applyFill="1" applyBorder="1" applyAlignment="1">
      <alignment horizontal="center" vertical="center" wrapText="1"/>
    </xf>
    <xf numFmtId="0" fontId="11" fillId="3" borderId="1" xfId="0" applyFont="1" applyFill="1" applyBorder="1" applyAlignment="1">
      <alignment horizontal="center" vertical="center" wrapText="1"/>
    </xf>
    <xf numFmtId="177" fontId="15" fillId="3" borderId="1" xfId="0" applyNumberFormat="1" applyFont="1" applyFill="1" applyBorder="1" applyAlignment="1">
      <alignment horizontal="center" vertical="center" wrapText="1"/>
    </xf>
    <xf numFmtId="0" fontId="0" fillId="0" borderId="2" xfId="0" applyBorder="1" applyAlignment="1"/>
    <xf numFmtId="0" fontId="0" fillId="0" borderId="3" xfId="0" applyBorder="1" applyAlignment="1"/>
    <xf numFmtId="177" fontId="15" fillId="3" borderId="1" xfId="0" applyNumberFormat="1" applyFont="1" applyFill="1" applyBorder="1" applyAlignment="1" applyProtection="1">
      <alignment horizontal="center" vertical="center" wrapText="1"/>
      <protection locked="0"/>
    </xf>
    <xf numFmtId="0" fontId="0" fillId="0" borderId="3" xfId="0" applyBorder="1" applyAlignment="1" applyProtection="1">
      <protection locked="0"/>
    </xf>
    <xf numFmtId="176" fontId="15" fillId="3" borderId="1" xfId="0" applyNumberFormat="1" applyFont="1" applyFill="1" applyBorder="1" applyAlignment="1">
      <alignment horizontal="center" vertical="center" wrapText="1"/>
    </xf>
    <xf numFmtId="176" fontId="15" fillId="3" borderId="1" xfId="0" applyNumberFormat="1" applyFont="1" applyFill="1" applyBorder="1" applyAlignment="1" applyProtection="1">
      <alignment horizontal="center" vertical="center" wrapText="1"/>
      <protection locked="0"/>
    </xf>
    <xf numFmtId="176" fontId="15" fillId="3" borderId="4" xfId="0" applyNumberFormat="1" applyFont="1" applyFill="1" applyBorder="1" applyAlignment="1">
      <alignment horizontal="center" vertical="center" wrapText="1"/>
    </xf>
    <xf numFmtId="176" fontId="15" fillId="3" borderId="5" xfId="0" applyNumberFormat="1" applyFont="1" applyFill="1" applyBorder="1" applyAlignment="1">
      <alignment horizontal="center" vertical="center" wrapText="1"/>
    </xf>
    <xf numFmtId="0" fontId="11" fillId="3" borderId="6" xfId="0" applyFont="1" applyFill="1" applyBorder="1" applyAlignment="1">
      <alignment horizontal="center" vertical="center" wrapText="1"/>
    </xf>
    <xf numFmtId="0" fontId="11" fillId="3" borderId="7"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0" fillId="0" borderId="8" xfId="0" applyBorder="1" applyAlignment="1"/>
    <xf numFmtId="10" fontId="15" fillId="3" borderId="1" xfId="0" applyNumberFormat="1" applyFont="1" applyFill="1" applyBorder="1" applyAlignment="1" applyProtection="1">
      <alignment horizontal="center" vertical="center" wrapText="1"/>
      <protection locked="0"/>
    </xf>
    <xf numFmtId="177" fontId="15" fillId="3" borderId="8" xfId="0" applyNumberFormat="1" applyFont="1" applyFill="1" applyBorder="1" applyAlignment="1" applyProtection="1">
      <alignment horizontal="center" vertical="center" wrapText="1"/>
      <protection locked="0"/>
    </xf>
    <xf numFmtId="0" fontId="15" fillId="3" borderId="8" xfId="0" applyFont="1" applyFill="1" applyBorder="1" applyAlignment="1">
      <alignment horizontal="center" vertical="center" wrapText="1"/>
    </xf>
    <xf numFmtId="0" fontId="16" fillId="4" borderId="1" xfId="0" applyFont="1" applyFill="1" applyBorder="1" applyAlignment="1">
      <alignment horizontal="center" vertical="center"/>
    </xf>
    <xf numFmtId="49" fontId="17" fillId="4" borderId="1" xfId="0" applyNumberFormat="1" applyFont="1" applyFill="1" applyBorder="1" applyAlignment="1">
      <alignment horizontal="center" vertical="center"/>
    </xf>
    <xf numFmtId="178" fontId="18" fillId="4" borderId="1" xfId="0" applyNumberFormat="1" applyFont="1" applyFill="1" applyBorder="1" applyAlignment="1">
      <alignment horizontal="right" vertical="center" wrapText="1"/>
    </xf>
    <xf numFmtId="9" fontId="18" fillId="4" borderId="1" xfId="0" applyNumberFormat="1" applyFont="1" applyFill="1" applyBorder="1" applyAlignment="1">
      <alignment horizontal="center" vertical="center" wrapText="1"/>
    </xf>
    <xf numFmtId="0" fontId="18" fillId="4" borderId="1" xfId="0" applyFont="1" applyFill="1" applyBorder="1" applyAlignment="1">
      <alignment horizontal="center" vertical="center" wrapText="1"/>
    </xf>
    <xf numFmtId="178" fontId="18" fillId="4" borderId="1" xfId="0" applyNumberFormat="1" applyFont="1" applyFill="1" applyBorder="1" applyAlignment="1">
      <alignment horizontal="center" vertical="center" wrapText="1"/>
    </xf>
    <xf numFmtId="0" fontId="17" fillId="4" borderId="1" xfId="0" applyFont="1" applyFill="1" applyBorder="1" applyAlignment="1">
      <alignment horizontal="center" vertical="center" wrapText="1"/>
    </xf>
    <xf numFmtId="0" fontId="15" fillId="4" borderId="9" xfId="0" applyFont="1" applyFill="1" applyBorder="1" applyAlignment="1">
      <alignment horizontal="left" vertical="center" wrapText="1"/>
    </xf>
    <xf numFmtId="0" fontId="15" fillId="4" borderId="1" xfId="0" applyFont="1" applyFill="1" applyBorder="1" applyAlignment="1">
      <alignment horizontal="left" vertical="center" wrapText="1"/>
    </xf>
    <xf numFmtId="49" fontId="15" fillId="4" borderId="1" xfId="0" applyNumberFormat="1" applyFont="1" applyFill="1" applyBorder="1" applyAlignment="1">
      <alignment horizontal="center" vertical="center"/>
    </xf>
    <xf numFmtId="0" fontId="15" fillId="4" borderId="1" xfId="0" applyFont="1" applyFill="1" applyBorder="1" applyAlignment="1">
      <alignment horizontal="center" vertical="center" wrapText="1"/>
    </xf>
    <xf numFmtId="0" fontId="15" fillId="4" borderId="9" xfId="0" applyFont="1" applyFill="1" applyBorder="1" applyAlignment="1">
      <alignment horizontal="center" vertical="center" wrapText="1"/>
    </xf>
    <xf numFmtId="0" fontId="15" fillId="4" borderId="3" xfId="0" applyFont="1" applyFill="1" applyBorder="1" applyAlignment="1">
      <alignment horizontal="center" vertical="center" wrapText="1"/>
    </xf>
    <xf numFmtId="49" fontId="19" fillId="0" borderId="1" xfId="0" applyNumberFormat="1" applyFont="1" applyBorder="1" applyAlignment="1">
      <alignment horizontal="center" vertical="center"/>
    </xf>
    <xf numFmtId="49" fontId="19" fillId="0" borderId="1" xfId="0" applyNumberFormat="1" applyFont="1" applyBorder="1" applyAlignment="1">
      <alignment horizontal="left" vertical="center"/>
    </xf>
    <xf numFmtId="3" fontId="20" fillId="0" borderId="1" xfId="0" applyNumberFormat="1" applyFont="1" applyBorder="1" applyAlignment="1">
      <alignment horizontal="right" vertical="center" wrapText="1"/>
    </xf>
    <xf numFmtId="10" fontId="20" fillId="0" borderId="1" xfId="0" applyNumberFormat="1" applyFont="1" applyBorder="1" applyAlignment="1">
      <alignment horizontal="right" vertical="center" wrapText="1"/>
    </xf>
    <xf numFmtId="4" fontId="20" fillId="0" borderId="1" xfId="0" applyNumberFormat="1" applyFont="1" applyBorder="1" applyAlignment="1">
      <alignment horizontal="right" vertical="center" wrapText="1"/>
    </xf>
    <xf numFmtId="0" fontId="20" fillId="0" borderId="1" xfId="0" applyFont="1" applyBorder="1" applyAlignment="1">
      <alignment horizontal="right" vertical="center" wrapText="1"/>
    </xf>
    <xf numFmtId="178" fontId="20" fillId="0" borderId="1" xfId="0" applyNumberFormat="1" applyFont="1" applyBorder="1" applyAlignment="1">
      <alignment horizontal="right" vertical="center" wrapText="1"/>
    </xf>
    <xf numFmtId="9" fontId="20" fillId="0" borderId="1" xfId="0" applyNumberFormat="1" applyFont="1" applyBorder="1" applyAlignment="1">
      <alignment horizontal="right" vertical="center" wrapText="1"/>
    </xf>
    <xf numFmtId="0" fontId="21" fillId="0" borderId="1" xfId="0" applyFont="1" applyBorder="1" applyAlignment="1">
      <alignment horizontal="left" vertical="center" wrapText="1"/>
    </xf>
    <xf numFmtId="0" fontId="22" fillId="0" borderId="1" xfId="0" applyFont="1" applyBorder="1" applyAlignment="1">
      <alignment horizontal="left" vertical="center" wrapText="1"/>
    </xf>
    <xf numFmtId="0" fontId="19" fillId="0" borderId="1" xfId="0" applyFont="1" applyBorder="1" applyAlignment="1">
      <alignment horizontal="left" vertical="center" wrapText="1"/>
    </xf>
    <xf numFmtId="9" fontId="18" fillId="0" borderId="1" xfId="0" applyNumberFormat="1" applyFont="1" applyFill="1" applyBorder="1" applyAlignment="1">
      <alignment horizontal="center" vertical="center" wrapText="1"/>
    </xf>
    <xf numFmtId="178" fontId="23" fillId="0" borderId="1" xfId="0" applyNumberFormat="1" applyFont="1" applyBorder="1" applyAlignment="1">
      <alignment horizontal="left" vertical="center" wrapText="1"/>
    </xf>
    <xf numFmtId="10" fontId="19" fillId="0" borderId="1" xfId="0" applyNumberFormat="1" applyFont="1" applyBorder="1" applyAlignment="1">
      <alignment horizontal="right" vertical="center" wrapText="1"/>
    </xf>
    <xf numFmtId="178" fontId="20" fillId="0" borderId="10" xfId="0" applyNumberFormat="1" applyFont="1" applyBorder="1" applyAlignment="1">
      <alignment horizontal="right" vertical="center" wrapText="1"/>
    </xf>
    <xf numFmtId="0" fontId="21" fillId="0" borderId="10" xfId="0" applyFont="1" applyBorder="1" applyAlignment="1">
      <alignment horizontal="left" vertical="center" wrapText="1"/>
    </xf>
    <xf numFmtId="0" fontId="21" fillId="0" borderId="3" xfId="0" applyFont="1" applyBorder="1" applyAlignment="1">
      <alignment horizontal="left" vertical="center" wrapText="1"/>
    </xf>
    <xf numFmtId="178" fontId="20" fillId="0" borderId="11" xfId="0" applyNumberFormat="1" applyFont="1" applyBorder="1" applyAlignment="1">
      <alignment horizontal="right" vertical="center" wrapText="1"/>
    </xf>
    <xf numFmtId="178" fontId="20" fillId="0" borderId="6" xfId="0" applyNumberFormat="1" applyFont="1" applyBorder="1" applyAlignment="1">
      <alignment horizontal="right" vertical="center" wrapText="1"/>
    </xf>
    <xf numFmtId="0" fontId="21" fillId="0" borderId="6" xfId="0" applyFont="1" applyBorder="1" applyAlignment="1">
      <alignment horizontal="left" vertical="center" wrapText="1"/>
    </xf>
    <xf numFmtId="0" fontId="19" fillId="0" borderId="1" xfId="0" applyFont="1" applyBorder="1" applyAlignment="1">
      <alignment horizontal="left" vertical="center"/>
    </xf>
    <xf numFmtId="0" fontId="24" fillId="0" borderId="3" xfId="0" applyFont="1" applyBorder="1" applyAlignment="1">
      <alignment horizontal="left" vertical="center" wrapText="1"/>
    </xf>
    <xf numFmtId="2" fontId="19" fillId="0" borderId="1" xfId="0" applyNumberFormat="1" applyFont="1" applyBorder="1" applyAlignment="1">
      <alignment horizontal="left" vertical="center" wrapText="1"/>
    </xf>
    <xf numFmtId="2" fontId="23" fillId="0" borderId="1" xfId="0" applyNumberFormat="1" applyFont="1" applyBorder="1" applyAlignment="1">
      <alignment horizontal="right" vertical="center" wrapText="1"/>
    </xf>
    <xf numFmtId="2" fontId="20" fillId="0" borderId="1" xfId="0" applyNumberFormat="1" applyFont="1" applyBorder="1" applyAlignment="1">
      <alignment horizontal="right" vertical="center" wrapText="1"/>
    </xf>
    <xf numFmtId="2" fontId="21" fillId="0" borderId="6" xfId="0" applyNumberFormat="1" applyFont="1" applyBorder="1" applyAlignment="1">
      <alignment horizontal="left" vertical="center" wrapText="1"/>
    </xf>
    <xf numFmtId="0" fontId="25" fillId="0" borderId="3" xfId="0" applyFont="1" applyBorder="1" applyAlignment="1">
      <alignment horizontal="left" vertical="center" wrapText="1"/>
    </xf>
    <xf numFmtId="2" fontId="25" fillId="0" borderId="1" xfId="0" applyNumberFormat="1" applyFont="1" applyBorder="1" applyAlignment="1">
      <alignment horizontal="left" vertical="center" wrapText="1"/>
    </xf>
    <xf numFmtId="2" fontId="7" fillId="0" borderId="0" xfId="0" applyNumberFormat="1" applyFont="1" applyAlignment="1">
      <alignment vertical="center" wrapText="1"/>
    </xf>
    <xf numFmtId="178" fontId="23" fillId="0" borderId="1" xfId="0" applyNumberFormat="1" applyFont="1" applyBorder="1" applyAlignment="1">
      <alignment horizontal="right" vertical="center" wrapText="1"/>
    </xf>
    <xf numFmtId="178" fontId="23" fillId="0" borderId="1" xfId="0" applyNumberFormat="1" applyFont="1" applyBorder="1" applyAlignment="1" applyProtection="1">
      <alignment horizontal="right" vertical="center"/>
      <protection hidden="1"/>
    </xf>
    <xf numFmtId="9" fontId="23" fillId="0" borderId="1" xfId="0" applyNumberFormat="1" applyFont="1" applyBorder="1" applyAlignment="1">
      <alignment horizontal="right" vertical="center" wrapText="1"/>
    </xf>
    <xf numFmtId="178" fontId="26" fillId="0" borderId="1" xfId="0" applyNumberFormat="1" applyFont="1" applyBorder="1" applyAlignment="1">
      <alignment horizontal="left" vertical="center" wrapText="1"/>
    </xf>
    <xf numFmtId="1" fontId="23" fillId="0" borderId="1" xfId="0" applyNumberFormat="1" applyFont="1" applyBorder="1" applyAlignment="1">
      <alignment horizontal="right" vertical="center" wrapText="1"/>
    </xf>
    <xf numFmtId="178" fontId="27" fillId="0" borderId="1" xfId="0" applyNumberFormat="1" applyFont="1" applyBorder="1" applyAlignment="1">
      <alignment horizontal="right" vertical="center" wrapText="1"/>
    </xf>
    <xf numFmtId="10" fontId="23" fillId="0" borderId="1" xfId="0" applyNumberFormat="1" applyFont="1" applyBorder="1" applyAlignment="1">
      <alignment horizontal="right" vertical="center" wrapText="1"/>
    </xf>
    <xf numFmtId="9" fontId="27" fillId="0" borderId="1" xfId="0" applyNumberFormat="1" applyFont="1" applyBorder="1" applyAlignment="1">
      <alignment horizontal="right" vertical="center" wrapText="1"/>
    </xf>
    <xf numFmtId="178" fontId="23" fillId="0" borderId="11" xfId="0" applyNumberFormat="1" applyFont="1" applyBorder="1" applyAlignment="1">
      <alignment horizontal="right" vertical="center" wrapText="1"/>
    </xf>
    <xf numFmtId="0" fontId="28" fillId="0" borderId="1" xfId="0" applyFont="1" applyBorder="1" applyAlignment="1">
      <alignment horizontal="left" vertical="center" wrapText="1"/>
    </xf>
    <xf numFmtId="0" fontId="29" fillId="0" borderId="3" xfId="0" applyFont="1" applyBorder="1" applyAlignment="1">
      <alignment horizontal="left" vertical="center" wrapText="1"/>
    </xf>
    <xf numFmtId="0" fontId="7" fillId="0" borderId="0" xfId="0" applyFont="1" applyAlignment="1">
      <alignment vertical="center" wrapText="1"/>
    </xf>
    <xf numFmtId="9" fontId="26" fillId="0" borderId="1" xfId="0" applyNumberFormat="1" applyFont="1" applyBorder="1" applyAlignment="1">
      <alignment horizontal="left" vertical="center" wrapText="1"/>
    </xf>
    <xf numFmtId="179" fontId="21" fillId="0" borderId="6" xfId="0" applyNumberFormat="1" applyFont="1" applyBorder="1" applyAlignment="1">
      <alignment horizontal="left" vertical="center" wrapText="1"/>
    </xf>
    <xf numFmtId="0" fontId="25" fillId="0" borderId="1" xfId="0" applyFont="1" applyBorder="1" applyAlignment="1">
      <alignment horizontal="left" vertical="center" wrapText="1"/>
    </xf>
    <xf numFmtId="0" fontId="7" fillId="0" borderId="0" xfId="0" applyFont="1" applyAlignment="1">
      <alignment horizontal="center" vertical="center"/>
    </xf>
    <xf numFmtId="4" fontId="23" fillId="0" borderId="0" xfId="0" applyNumberFormat="1" applyFont="1" applyAlignment="1">
      <alignment vertical="center" wrapText="1"/>
    </xf>
    <xf numFmtId="179" fontId="23" fillId="0" borderId="1" xfId="0" applyNumberFormat="1" applyFont="1" applyBorder="1" applyAlignment="1">
      <alignment horizontal="right" vertical="center" wrapText="1"/>
    </xf>
    <xf numFmtId="0" fontId="23" fillId="0" borderId="0" xfId="0" applyFont="1" applyAlignment="1">
      <alignment vertical="center" wrapText="1"/>
    </xf>
    <xf numFmtId="0" fontId="27" fillId="0" borderId="1" xfId="0" applyFont="1" applyBorder="1" applyAlignment="1">
      <alignment horizontal="right" vertical="center"/>
    </xf>
    <xf numFmtId="0" fontId="23" fillId="0" borderId="1" xfId="0" applyFont="1" applyBorder="1" applyAlignment="1">
      <alignment vertical="center" wrapText="1"/>
    </xf>
    <xf numFmtId="4" fontId="23" fillId="0" borderId="1" xfId="0" applyNumberFormat="1" applyFont="1" applyBorder="1" applyAlignment="1">
      <alignment vertical="center" wrapText="1"/>
    </xf>
    <xf numFmtId="0" fontId="16" fillId="0" borderId="3" xfId="0" applyFont="1" applyBorder="1" applyAlignment="1">
      <alignment horizontal="left" vertical="center" wrapText="1"/>
    </xf>
    <xf numFmtId="179" fontId="23" fillId="0" borderId="1" xfId="0" applyNumberFormat="1" applyFont="1" applyBorder="1" applyAlignment="1" applyProtection="1">
      <alignment horizontal="right" vertical="center"/>
      <protection hidden="1"/>
    </xf>
    <xf numFmtId="178" fontId="7" fillId="0" borderId="1" xfId="0" applyNumberFormat="1" applyFont="1" applyBorder="1" applyAlignment="1">
      <alignment horizontal="left" vertical="center" wrapText="1"/>
    </xf>
    <xf numFmtId="179" fontId="30" fillId="0" borderId="1" xfId="0" applyNumberFormat="1" applyFont="1" applyBorder="1" applyAlignment="1">
      <alignment horizontal="left" vertical="center" wrapText="1"/>
    </xf>
    <xf numFmtId="178" fontId="27" fillId="0" borderId="1" xfId="0" applyNumberFormat="1" applyFont="1" applyBorder="1" applyAlignment="1">
      <alignment horizontal="left" vertical="center" wrapText="1"/>
    </xf>
    <xf numFmtId="179" fontId="25" fillId="0" borderId="3" xfId="0" applyNumberFormat="1" applyFont="1" applyFill="1" applyBorder="1" applyAlignment="1">
      <alignment horizontal="left" vertical="center" wrapText="1"/>
    </xf>
    <xf numFmtId="179" fontId="21" fillId="0" borderId="1" xfId="0" applyNumberFormat="1" applyFont="1" applyBorder="1" applyAlignment="1">
      <alignment horizontal="left" vertical="center" wrapText="1"/>
    </xf>
    <xf numFmtId="179" fontId="26" fillId="0" borderId="1" xfId="0" applyNumberFormat="1" applyFont="1" applyBorder="1" applyAlignment="1">
      <alignment horizontal="left" vertical="center" wrapText="1"/>
    </xf>
    <xf numFmtId="178" fontId="26" fillId="0" borderId="1" xfId="0" applyNumberFormat="1" applyFont="1" applyBorder="1" applyAlignment="1">
      <alignment horizontal="right" vertical="center" wrapText="1"/>
    </xf>
    <xf numFmtId="176" fontId="25" fillId="0" borderId="1" xfId="0" applyNumberFormat="1" applyFont="1" applyBorder="1" applyAlignment="1">
      <alignment horizontal="center" vertical="center"/>
    </xf>
    <xf numFmtId="0" fontId="0" fillId="0" borderId="0" xfId="0" applyAlignment="1">
      <alignment vertical="center" wrapText="1"/>
    </xf>
    <xf numFmtId="176" fontId="23" fillId="0" borderId="1" xfId="0" applyNumberFormat="1" applyFont="1" applyBorder="1" applyAlignment="1">
      <alignment horizontal="right" vertical="center" wrapText="1"/>
    </xf>
    <xf numFmtId="0" fontId="25" fillId="0" borderId="0" xfId="0" applyFont="1" applyAlignment="1">
      <alignment vertical="center" wrapText="1"/>
    </xf>
    <xf numFmtId="179" fontId="23" fillId="0" borderId="1" xfId="0" applyNumberFormat="1" applyFont="1" applyBorder="1" applyAlignment="1">
      <alignment horizontal="left" vertical="center" wrapText="1"/>
    </xf>
    <xf numFmtId="179" fontId="20" fillId="0" borderId="1" xfId="0" applyNumberFormat="1" applyFont="1" applyBorder="1" applyAlignment="1">
      <alignment horizontal="right" vertical="center" wrapText="1"/>
    </xf>
    <xf numFmtId="9" fontId="23" fillId="0" borderId="1" xfId="0" applyNumberFormat="1" applyFont="1" applyBorder="1" applyAlignment="1">
      <alignment horizontal="left" vertical="center" wrapText="1"/>
    </xf>
    <xf numFmtId="179" fontId="25" fillId="0" borderId="6" xfId="0" applyNumberFormat="1" applyFont="1" applyBorder="1" applyAlignment="1">
      <alignment horizontal="left" vertical="center" wrapText="1"/>
    </xf>
    <xf numFmtId="9" fontId="20" fillId="0" borderId="1" xfId="3" applyFont="1" applyBorder="1" applyAlignment="1">
      <alignment horizontal="right" vertical="center" wrapText="1"/>
    </xf>
    <xf numFmtId="9" fontId="23" fillId="0" borderId="1" xfId="3" applyFont="1" applyBorder="1" applyAlignment="1">
      <alignment horizontal="left" vertical="center" wrapText="1"/>
    </xf>
    <xf numFmtId="178" fontId="23" fillId="0" borderId="11" xfId="0" applyNumberFormat="1" applyFont="1" applyBorder="1" applyAlignment="1">
      <alignment horizontal="right" vertical="center"/>
    </xf>
    <xf numFmtId="178" fontId="23" fillId="0" borderId="1" xfId="0" applyNumberFormat="1" applyFont="1" applyBorder="1" applyAlignment="1">
      <alignment horizontal="right" vertical="center"/>
    </xf>
    <xf numFmtId="178" fontId="23" fillId="0" borderId="1" xfId="0" applyNumberFormat="1" applyFont="1" applyBorder="1" applyAlignment="1">
      <alignment horizontal="right" vertical="center" shrinkToFit="1"/>
    </xf>
    <xf numFmtId="0" fontId="23" fillId="0" borderId="1" xfId="0" applyFont="1" applyBorder="1" applyAlignment="1">
      <alignment horizontal="right" vertical="center" wrapText="1"/>
    </xf>
    <xf numFmtId="178" fontId="23" fillId="0" borderId="8" xfId="0" applyNumberFormat="1" applyFont="1" applyBorder="1" applyAlignment="1">
      <alignment horizontal="right" vertical="center" wrapText="1"/>
    </xf>
    <xf numFmtId="178" fontId="23" fillId="0" borderId="12" xfId="0" applyNumberFormat="1" applyFont="1" applyBorder="1" applyAlignment="1">
      <alignment horizontal="right" vertical="center" wrapText="1"/>
    </xf>
    <xf numFmtId="0" fontId="31" fillId="0" borderId="8" xfId="0" applyFont="1" applyBorder="1">
      <alignment vertical="center"/>
    </xf>
    <xf numFmtId="179" fontId="28" fillId="0" borderId="8" xfId="0" applyNumberFormat="1" applyFont="1" applyBorder="1" applyAlignment="1">
      <alignment horizontal="left" vertical="center" wrapText="1"/>
    </xf>
    <xf numFmtId="179" fontId="25" fillId="0" borderId="3" xfId="0" applyNumberFormat="1" applyFont="1" applyBorder="1" applyAlignment="1">
      <alignment horizontal="left" vertical="center" wrapText="1"/>
    </xf>
    <xf numFmtId="178" fontId="7" fillId="0" borderId="1" xfId="0" applyNumberFormat="1" applyFont="1" applyBorder="1" applyAlignment="1">
      <alignment horizontal="right" vertical="center" wrapText="1"/>
    </xf>
    <xf numFmtId="178" fontId="23" fillId="0" borderId="10" xfId="0" applyNumberFormat="1" applyFont="1" applyBorder="1" applyAlignment="1">
      <alignment horizontal="right" vertical="center"/>
    </xf>
    <xf numFmtId="179" fontId="31" fillId="0" borderId="1" xfId="0" applyNumberFormat="1" applyFont="1" applyBorder="1" applyAlignment="1" applyProtection="1">
      <alignment horizontal="right"/>
      <protection hidden="1"/>
    </xf>
    <xf numFmtId="178" fontId="23" fillId="0" borderId="2" xfId="0" applyNumberFormat="1" applyFont="1" applyBorder="1" applyAlignment="1">
      <alignment horizontal="right" vertical="center" wrapText="1"/>
    </xf>
    <xf numFmtId="0" fontId="32" fillId="0" borderId="0" xfId="0" applyFont="1" applyAlignment="1">
      <alignment vertical="center" wrapText="1"/>
    </xf>
    <xf numFmtId="0" fontId="8" fillId="0" borderId="3" xfId="0" applyFont="1" applyBorder="1" applyAlignment="1">
      <alignment horizontal="left" vertical="center" wrapText="1"/>
    </xf>
    <xf numFmtId="178" fontId="23" fillId="0" borderId="8" xfId="0" applyNumberFormat="1" applyFont="1" applyBorder="1" applyAlignment="1">
      <alignment horizontal="right" vertical="center"/>
    </xf>
    <xf numFmtId="0" fontId="19" fillId="0" borderId="1" xfId="0" applyFont="1" applyBorder="1" applyAlignment="1">
      <alignment vertical="center" wrapText="1"/>
    </xf>
    <xf numFmtId="178" fontId="33" fillId="0" borderId="1" xfId="0" applyNumberFormat="1" applyFont="1" applyBorder="1" applyAlignment="1">
      <alignment horizontal="right" vertical="center" wrapText="1"/>
    </xf>
    <xf numFmtId="178" fontId="33" fillId="0" borderId="3" xfId="0" applyNumberFormat="1" applyFont="1" applyBorder="1" applyAlignment="1">
      <alignment horizontal="right" vertical="center" wrapText="1"/>
    </xf>
    <xf numFmtId="178" fontId="33" fillId="0" borderId="3" xfId="0" applyNumberFormat="1" applyFont="1" applyBorder="1" applyAlignment="1" applyProtection="1">
      <alignment horizontal="right" vertical="center"/>
      <protection hidden="1"/>
    </xf>
    <xf numFmtId="10" fontId="33" fillId="0" borderId="3" xfId="0" applyNumberFormat="1" applyFont="1" applyBorder="1" applyAlignment="1">
      <alignment horizontal="right" vertical="center" wrapText="1"/>
    </xf>
    <xf numFmtId="176" fontId="26" fillId="0" borderId="1" xfId="0" applyNumberFormat="1" applyFont="1" applyBorder="1" applyAlignment="1">
      <alignment horizontal="center" vertical="center" wrapText="1"/>
    </xf>
    <xf numFmtId="179" fontId="33" fillId="0" borderId="3" xfId="0" applyNumberFormat="1" applyFont="1" applyBorder="1" applyAlignment="1" applyProtection="1">
      <alignment horizontal="right" vertical="center"/>
      <protection hidden="1"/>
    </xf>
    <xf numFmtId="9" fontId="33" fillId="0" borderId="3" xfId="0" applyNumberFormat="1" applyFont="1" applyBorder="1" applyAlignment="1">
      <alignment horizontal="right" vertical="center" wrapText="1"/>
    </xf>
    <xf numFmtId="178" fontId="33" fillId="0" borderId="3" xfId="0" applyNumberFormat="1" applyFont="1" applyBorder="1" applyAlignment="1">
      <alignment horizontal="right" vertical="center"/>
    </xf>
    <xf numFmtId="178" fontId="33" fillId="0" borderId="9" xfId="0" applyNumberFormat="1" applyFont="1" applyBorder="1" applyAlignment="1">
      <alignment horizontal="right" vertical="center"/>
    </xf>
    <xf numFmtId="178" fontId="33" fillId="0" borderId="9" xfId="0" applyNumberFormat="1" applyFont="1" applyBorder="1" applyAlignment="1">
      <alignment horizontal="right" vertical="center" wrapText="1"/>
    </xf>
    <xf numFmtId="0" fontId="25" fillId="0" borderId="3" xfId="0" applyFont="1" applyBorder="1" applyAlignment="1">
      <alignment vertical="center" wrapText="1"/>
    </xf>
    <xf numFmtId="0" fontId="21" fillId="0" borderId="1" xfId="0" applyFont="1" applyBorder="1" applyAlignment="1">
      <alignment vertical="center" wrapText="1"/>
    </xf>
    <xf numFmtId="176" fontId="19" fillId="0" borderId="1" xfId="0" applyNumberFormat="1" applyFont="1" applyBorder="1" applyAlignment="1">
      <alignment horizontal="left" vertical="center" wrapText="1"/>
    </xf>
    <xf numFmtId="176" fontId="27" fillId="0" borderId="1" xfId="0" applyNumberFormat="1" applyFont="1" applyBorder="1" applyAlignment="1">
      <alignment horizontal="right" vertical="center" wrapText="1"/>
    </xf>
    <xf numFmtId="176" fontId="26" fillId="0" borderId="1" xfId="0" applyNumberFormat="1" applyFont="1" applyBorder="1" applyAlignment="1">
      <alignment horizontal="left" vertical="center" wrapText="1"/>
    </xf>
    <xf numFmtId="0" fontId="28" fillId="0" borderId="3" xfId="0" applyFont="1" applyBorder="1" applyAlignment="1">
      <alignment vertical="center" wrapText="1"/>
    </xf>
    <xf numFmtId="176" fontId="21" fillId="0" borderId="1" xfId="0" applyNumberFormat="1" applyFont="1" applyBorder="1" applyAlignment="1">
      <alignment horizontal="left" vertical="center" wrapText="1"/>
    </xf>
    <xf numFmtId="178" fontId="23" fillId="0" borderId="10" xfId="0" applyNumberFormat="1" applyFont="1" applyBorder="1" applyAlignment="1">
      <alignment horizontal="right" vertical="center" wrapText="1"/>
    </xf>
    <xf numFmtId="9" fontId="7" fillId="0" borderId="1" xfId="0" applyNumberFormat="1" applyFont="1" applyBorder="1" applyAlignment="1">
      <alignment horizontal="right" vertical="center" wrapText="1"/>
    </xf>
    <xf numFmtId="178" fontId="23" fillId="0" borderId="3" xfId="0" applyNumberFormat="1" applyFont="1" applyBorder="1" applyAlignment="1">
      <alignment horizontal="right" vertical="center"/>
    </xf>
    <xf numFmtId="0" fontId="34" fillId="0" borderId="0" xfId="0" applyFont="1" applyAlignment="1">
      <alignment vertical="center" wrapText="1"/>
    </xf>
    <xf numFmtId="179" fontId="27" fillId="0" borderId="1" xfId="0" applyNumberFormat="1" applyFont="1" applyBorder="1" applyAlignment="1">
      <alignment horizontal="right" vertical="center" wrapText="1"/>
    </xf>
    <xf numFmtId="0" fontId="28" fillId="0" borderId="3" xfId="0" applyFont="1" applyBorder="1" applyAlignment="1">
      <alignment horizontal="left" vertical="center" wrapText="1"/>
    </xf>
    <xf numFmtId="179" fontId="25" fillId="0" borderId="1" xfId="0" applyNumberFormat="1" applyFont="1" applyBorder="1" applyAlignment="1">
      <alignment horizontal="left" vertical="center" wrapText="1"/>
    </xf>
    <xf numFmtId="178" fontId="35" fillId="0" borderId="3" xfId="0" applyNumberFormat="1" applyFont="1" applyBorder="1" applyAlignment="1">
      <alignment horizontal="left" vertical="center" wrapText="1"/>
    </xf>
    <xf numFmtId="43" fontId="23" fillId="0" borderId="1" xfId="0" applyNumberFormat="1" applyFont="1" applyBorder="1" applyAlignment="1">
      <alignment horizontal="right" vertical="center"/>
    </xf>
    <xf numFmtId="4" fontId="33" fillId="0" borderId="0" xfId="0" applyNumberFormat="1" applyFont="1" applyAlignment="1">
      <alignment vertical="center" wrapText="1"/>
    </xf>
    <xf numFmtId="10" fontId="33" fillId="0" borderId="1" xfId="0" applyNumberFormat="1" applyFont="1" applyBorder="1" applyAlignment="1">
      <alignment horizontal="right" vertical="center" wrapText="1"/>
    </xf>
    <xf numFmtId="178" fontId="35" fillId="0" borderId="3" xfId="0" applyNumberFormat="1" applyFont="1" applyBorder="1" applyAlignment="1">
      <alignment horizontal="right" vertical="center" wrapText="1"/>
    </xf>
    <xf numFmtId="179" fontId="33" fillId="0" borderId="1" xfId="0" applyNumberFormat="1" applyFont="1" applyBorder="1" applyAlignment="1" applyProtection="1">
      <alignment horizontal="right" vertical="center"/>
      <protection hidden="1"/>
    </xf>
    <xf numFmtId="178" fontId="36" fillId="0" borderId="3" xfId="0" applyNumberFormat="1" applyFont="1" applyBorder="1" applyAlignment="1">
      <alignment horizontal="right" vertical="center" wrapText="1"/>
    </xf>
    <xf numFmtId="0" fontId="33" fillId="0" borderId="0" xfId="0" applyFont="1" applyAlignment="1">
      <alignment vertical="center" wrapText="1"/>
    </xf>
    <xf numFmtId="9" fontId="33" fillId="0" borderId="1" xfId="0" applyNumberFormat="1" applyFont="1" applyBorder="1" applyAlignment="1">
      <alignment horizontal="right" vertical="center" wrapText="1"/>
    </xf>
    <xf numFmtId="178" fontId="37" fillId="0" borderId="3" xfId="0" applyNumberFormat="1" applyFont="1" applyBorder="1" applyAlignment="1">
      <alignment horizontal="right" vertical="center" wrapText="1"/>
    </xf>
    <xf numFmtId="179" fontId="37" fillId="0" borderId="3" xfId="0" applyNumberFormat="1" applyFont="1" applyBorder="1" applyAlignment="1">
      <alignment horizontal="right" vertical="center" wrapText="1"/>
    </xf>
    <xf numFmtId="9" fontId="37" fillId="0" borderId="3" xfId="0" applyNumberFormat="1" applyFont="1" applyBorder="1" applyAlignment="1">
      <alignment horizontal="right" vertical="center" wrapText="1"/>
    </xf>
    <xf numFmtId="178" fontId="33" fillId="0" borderId="1" xfId="0" applyNumberFormat="1" applyFont="1" applyBorder="1" applyAlignment="1">
      <alignment horizontal="right" vertical="center"/>
    </xf>
    <xf numFmtId="0" fontId="33" fillId="0" borderId="0" xfId="0" applyFont="1" applyAlignment="1">
      <alignment horizontal="right" vertical="center" wrapText="1"/>
    </xf>
    <xf numFmtId="4" fontId="33" fillId="0" borderId="0" xfId="0" applyNumberFormat="1" applyFont="1" applyAlignment="1">
      <alignment horizontal="right" vertical="center" wrapText="1"/>
    </xf>
    <xf numFmtId="0" fontId="38" fillId="0" borderId="0" xfId="0" applyFont="1">
      <alignment vertical="center"/>
    </xf>
    <xf numFmtId="0" fontId="39" fillId="0" borderId="3" xfId="0" applyFont="1" applyBorder="1" applyAlignment="1">
      <alignment horizontal="left" vertical="center" wrapText="1"/>
    </xf>
    <xf numFmtId="178" fontId="31" fillId="0" borderId="1" xfId="0" applyNumberFormat="1" applyFont="1" applyBorder="1" applyAlignment="1">
      <alignment horizontal="left" vertical="center" wrapText="1"/>
    </xf>
    <xf numFmtId="178" fontId="20" fillId="0" borderId="13" xfId="0" applyNumberFormat="1" applyFont="1" applyBorder="1" applyAlignment="1">
      <alignment horizontal="right" vertical="center" wrapText="1"/>
    </xf>
    <xf numFmtId="10" fontId="20" fillId="0" borderId="13" xfId="0" applyNumberFormat="1" applyFont="1" applyBorder="1" applyAlignment="1">
      <alignment horizontal="right" vertical="center" wrapText="1"/>
    </xf>
    <xf numFmtId="9" fontId="20" fillId="0" borderId="13" xfId="0" applyNumberFormat="1" applyFont="1" applyBorder="1" applyAlignment="1">
      <alignment horizontal="right" vertical="center" wrapText="1"/>
    </xf>
    <xf numFmtId="0" fontId="21" fillId="0" borderId="13" xfId="0" applyFont="1" applyBorder="1" applyAlignment="1">
      <alignment horizontal="left" vertical="center" wrapText="1"/>
    </xf>
    <xf numFmtId="0" fontId="16" fillId="0" borderId="0" xfId="0" applyFont="1" applyAlignment="1">
      <alignment horizontal="center" vertical="center"/>
    </xf>
    <xf numFmtId="180" fontId="40" fillId="0" borderId="0" xfId="0" applyNumberFormat="1" applyFont="1" applyAlignment="1">
      <alignment horizontal="center" vertical="center"/>
    </xf>
    <xf numFmtId="0" fontId="40" fillId="0" borderId="0" xfId="0" applyFont="1" applyAlignment="1">
      <alignment vertical="center"/>
    </xf>
    <xf numFmtId="0" fontId="25" fillId="0" borderId="0" xfId="0" applyFont="1" applyAlignment="1">
      <alignment vertical="center"/>
    </xf>
    <xf numFmtId="10" fontId="25" fillId="0" borderId="0" xfId="0" applyNumberFormat="1" applyFont="1" applyAlignment="1">
      <alignment horizontal="center" vertical="center" wrapText="1"/>
    </xf>
    <xf numFmtId="0" fontId="25" fillId="0" borderId="0" xfId="0" applyFont="1" applyAlignment="1">
      <alignment horizontal="center" vertical="center" wrapText="1"/>
    </xf>
    <xf numFmtId="177" fontId="25" fillId="0" borderId="0" xfId="0" applyNumberFormat="1" applyFont="1" applyAlignment="1">
      <alignment horizontal="center" vertical="center" wrapText="1"/>
    </xf>
    <xf numFmtId="176" fontId="25" fillId="0" borderId="0" xfId="0" applyNumberFormat="1" applyFont="1" applyAlignment="1">
      <alignment horizontal="center" vertical="center" wrapText="1"/>
    </xf>
    <xf numFmtId="0" fontId="25" fillId="0" borderId="0" xfId="0" applyFont="1" applyAlignment="1">
      <alignment horizontal="left" vertical="center" wrapText="1"/>
    </xf>
    <xf numFmtId="0" fontId="23" fillId="0" borderId="0" xfId="0" applyFont="1" applyAlignment="1">
      <alignment vertical="center"/>
    </xf>
    <xf numFmtId="0" fontId="41" fillId="0" borderId="0" xfId="0" applyFont="1" applyAlignment="1">
      <alignment vertical="center"/>
    </xf>
    <xf numFmtId="0" fontId="42" fillId="0" borderId="0" xfId="0" applyFont="1" applyAlignment="1">
      <alignment horizontal="center" vertical="center"/>
    </xf>
    <xf numFmtId="0" fontId="5" fillId="5" borderId="0" xfId="0" applyFont="1" applyFill="1" applyAlignment="1">
      <alignment vertical="center"/>
    </xf>
    <xf numFmtId="0" fontId="0" fillId="0" borderId="1" xfId="0" applyBorder="1" applyAlignment="1"/>
    <xf numFmtId="177" fontId="15" fillId="3" borderId="11" xfId="0" applyNumberFormat="1" applyFont="1" applyFill="1" applyBorder="1" applyAlignment="1" applyProtection="1">
      <alignment horizontal="center" vertical="center" wrapText="1"/>
      <protection locked="0"/>
    </xf>
    <xf numFmtId="177" fontId="15" fillId="3" borderId="2" xfId="0" applyNumberFormat="1" applyFont="1" applyFill="1" applyBorder="1" applyAlignment="1" applyProtection="1">
      <alignment horizontal="center" vertical="center" wrapText="1"/>
      <protection locked="0"/>
    </xf>
    <xf numFmtId="177" fontId="15" fillId="3" borderId="3" xfId="0" applyNumberFormat="1" applyFont="1" applyFill="1" applyBorder="1" applyAlignment="1" applyProtection="1">
      <alignment horizontal="center" vertical="center" wrapText="1"/>
      <protection locked="0"/>
    </xf>
    <xf numFmtId="0" fontId="0" fillId="0" borderId="1" xfId="0" applyBorder="1" applyAlignment="1" applyProtection="1">
      <protection locked="0"/>
    </xf>
    <xf numFmtId="177" fontId="43" fillId="3" borderId="1" xfId="0" applyNumberFormat="1" applyFont="1" applyFill="1" applyBorder="1" applyAlignment="1" applyProtection="1">
      <alignment horizontal="left" vertical="center" wrapText="1"/>
      <protection locked="0"/>
    </xf>
    <xf numFmtId="177" fontId="15" fillId="6" borderId="1" xfId="0" applyNumberFormat="1" applyFont="1" applyFill="1" applyBorder="1" applyAlignment="1" applyProtection="1">
      <alignment horizontal="center" vertical="center" wrapText="1"/>
      <protection locked="0"/>
    </xf>
    <xf numFmtId="0" fontId="3" fillId="0" borderId="1" xfId="0" applyFont="1" applyBorder="1" applyAlignment="1">
      <alignment horizontal="center" vertical="center"/>
    </xf>
    <xf numFmtId="181" fontId="20" fillId="0" borderId="1" xfId="0" applyNumberFormat="1" applyFont="1" applyBorder="1" applyAlignment="1">
      <alignment horizontal="right" vertical="center" wrapText="1"/>
    </xf>
    <xf numFmtId="181" fontId="23" fillId="0" borderId="1" xfId="0" applyNumberFormat="1" applyFont="1" applyBorder="1" applyAlignment="1">
      <alignment horizontal="right" vertical="center" wrapText="1"/>
    </xf>
    <xf numFmtId="10" fontId="20" fillId="0" borderId="1" xfId="0" applyNumberFormat="1" applyFont="1" applyFill="1" applyBorder="1" applyAlignment="1">
      <alignment horizontal="right" vertical="center" wrapText="1"/>
    </xf>
    <xf numFmtId="181" fontId="20" fillId="0" borderId="1" xfId="0" applyNumberFormat="1" applyFont="1" applyFill="1" applyBorder="1" applyAlignment="1">
      <alignment horizontal="right" vertical="center" wrapText="1"/>
    </xf>
    <xf numFmtId="181" fontId="44" fillId="0" borderId="1" xfId="0" applyNumberFormat="1" applyFont="1" applyFill="1" applyBorder="1" applyAlignment="1">
      <alignment horizontal="left" vertical="center" wrapText="1"/>
    </xf>
    <xf numFmtId="181" fontId="20" fillId="6" borderId="1" xfId="0" applyNumberFormat="1" applyFont="1" applyFill="1" applyBorder="1" applyAlignment="1">
      <alignment horizontal="right" vertical="center" wrapText="1"/>
    </xf>
    <xf numFmtId="178" fontId="20" fillId="0" borderId="1" xfId="0" applyNumberFormat="1" applyFont="1" applyFill="1" applyBorder="1" applyAlignment="1">
      <alignment horizontal="right" vertical="center" wrapText="1"/>
    </xf>
    <xf numFmtId="0" fontId="45" fillId="0" borderId="1" xfId="0" applyFont="1" applyFill="1" applyBorder="1" applyAlignment="1">
      <alignment vertical="center" wrapText="1"/>
    </xf>
    <xf numFmtId="0" fontId="46" fillId="0" borderId="1" xfId="0" applyFont="1" applyBorder="1" applyAlignment="1">
      <alignment vertical="center" wrapText="1"/>
    </xf>
    <xf numFmtId="49" fontId="19" fillId="5" borderId="1" xfId="0" applyNumberFormat="1" applyFont="1" applyFill="1" applyBorder="1" applyAlignment="1">
      <alignment horizontal="center" vertical="center"/>
    </xf>
    <xf numFmtId="0" fontId="19" fillId="5" borderId="1" xfId="0" applyFont="1" applyFill="1" applyBorder="1" applyAlignment="1">
      <alignment horizontal="left" vertical="center" wrapText="1"/>
    </xf>
    <xf numFmtId="178" fontId="20" fillId="5" borderId="1" xfId="0" applyNumberFormat="1" applyFont="1" applyFill="1" applyBorder="1" applyAlignment="1">
      <alignment horizontal="right" vertical="center" wrapText="1"/>
    </xf>
    <xf numFmtId="9" fontId="23" fillId="5" borderId="1" xfId="0" applyNumberFormat="1" applyFont="1" applyFill="1" applyBorder="1" applyAlignment="1">
      <alignment horizontal="right" vertical="center" wrapText="1"/>
    </xf>
    <xf numFmtId="178" fontId="2" fillId="5" borderId="1" xfId="0" applyNumberFormat="1" applyFont="1" applyFill="1" applyBorder="1" applyAlignment="1">
      <alignment horizontal="left" vertical="center" wrapText="1"/>
    </xf>
    <xf numFmtId="9" fontId="20" fillId="5" borderId="1" xfId="0" applyNumberFormat="1" applyFont="1" applyFill="1" applyBorder="1" applyAlignment="1">
      <alignment horizontal="right" vertical="center" wrapText="1"/>
    </xf>
    <xf numFmtId="10" fontId="19" fillId="5" borderId="1" xfId="0" applyNumberFormat="1" applyFont="1" applyFill="1" applyBorder="1" applyAlignment="1">
      <alignment horizontal="right" vertical="center" wrapText="1"/>
    </xf>
    <xf numFmtId="10" fontId="20" fillId="5" borderId="1" xfId="0" applyNumberFormat="1" applyFont="1" applyFill="1" applyBorder="1" applyAlignment="1">
      <alignment horizontal="right" vertical="center" wrapText="1"/>
    </xf>
    <xf numFmtId="9" fontId="2" fillId="5" borderId="1" xfId="0" applyNumberFormat="1" applyFont="1" applyFill="1" applyBorder="1" applyAlignment="1">
      <alignment horizontal="left" vertical="center" wrapText="1"/>
    </xf>
    <xf numFmtId="0" fontId="8" fillId="5" borderId="1" xfId="0" applyFont="1" applyFill="1" applyBorder="1" applyAlignment="1">
      <alignment vertical="center" wrapText="1"/>
    </xf>
    <xf numFmtId="0" fontId="7" fillId="5" borderId="0" xfId="0" applyFont="1" applyFill="1" applyAlignment="1">
      <alignment vertical="center"/>
    </xf>
    <xf numFmtId="178" fontId="44" fillId="5" borderId="1" xfId="0" applyNumberFormat="1" applyFont="1" applyFill="1" applyBorder="1" applyAlignment="1">
      <alignment horizontal="left" vertical="center" wrapText="1"/>
    </xf>
    <xf numFmtId="0" fontId="45" fillId="5" borderId="1" xfId="0" applyFont="1" applyFill="1" applyBorder="1" applyAlignment="1">
      <alignment vertical="center" wrapText="1"/>
    </xf>
    <xf numFmtId="0" fontId="19" fillId="5" borderId="1" xfId="0" applyFont="1" applyFill="1" applyBorder="1" applyAlignment="1">
      <alignment horizontal="left" vertical="center"/>
    </xf>
    <xf numFmtId="9" fontId="44" fillId="5" borderId="1" xfId="0" applyNumberFormat="1" applyFont="1" applyFill="1" applyBorder="1" applyAlignment="1">
      <alignment horizontal="left" vertical="center" wrapText="1"/>
    </xf>
    <xf numFmtId="0" fontId="47" fillId="5" borderId="1" xfId="0" applyFont="1" applyFill="1" applyBorder="1" applyAlignment="1">
      <alignment vertical="center" wrapText="1"/>
    </xf>
    <xf numFmtId="2" fontId="2" fillId="0" borderId="1" xfId="0" applyNumberFormat="1" applyFont="1" applyBorder="1" applyAlignment="1">
      <alignment horizontal="left" vertical="center" wrapText="1"/>
    </xf>
    <xf numFmtId="10" fontId="2" fillId="0" borderId="1" xfId="0" applyNumberFormat="1" applyFont="1" applyBorder="1" applyAlignment="1">
      <alignment horizontal="left" vertical="center" wrapText="1"/>
    </xf>
    <xf numFmtId="178" fontId="20" fillId="6" borderId="1" xfId="0" applyNumberFormat="1" applyFont="1" applyFill="1" applyBorder="1" applyAlignment="1">
      <alignment horizontal="right" vertical="center" wrapText="1"/>
    </xf>
    <xf numFmtId="2" fontId="45" fillId="0" borderId="1" xfId="0" applyNumberFormat="1" applyFont="1" applyBorder="1" applyAlignment="1">
      <alignment vertical="center" wrapText="1"/>
    </xf>
    <xf numFmtId="0" fontId="8" fillId="0" borderId="1" xfId="0" applyFont="1" applyBorder="1" applyAlignment="1">
      <alignment vertical="center" wrapText="1"/>
    </xf>
    <xf numFmtId="2" fontId="8" fillId="0" borderId="1" xfId="0" applyNumberFormat="1" applyFont="1" applyBorder="1" applyAlignment="1">
      <alignment vertical="center" wrapText="1"/>
    </xf>
    <xf numFmtId="2" fontId="7" fillId="0" borderId="0" xfId="0" applyNumberFormat="1" applyFont="1" applyAlignment="1">
      <alignment vertical="center"/>
    </xf>
    <xf numFmtId="178" fontId="2" fillId="0" borderId="1" xfId="0" applyNumberFormat="1" applyFont="1" applyBorder="1" applyAlignment="1">
      <alignment horizontal="left" vertical="center" wrapText="1"/>
    </xf>
    <xf numFmtId="9" fontId="2" fillId="0" borderId="1" xfId="0" applyNumberFormat="1" applyFont="1" applyBorder="1" applyAlignment="1">
      <alignment horizontal="left" vertical="center" wrapText="1"/>
    </xf>
    <xf numFmtId="178" fontId="23" fillId="6" borderId="1" xfId="0" applyNumberFormat="1" applyFont="1" applyFill="1" applyBorder="1" applyAlignment="1">
      <alignment horizontal="right" vertical="center" wrapText="1"/>
    </xf>
    <xf numFmtId="0" fontId="48" fillId="0" borderId="1" xfId="0" applyFont="1" applyBorder="1" applyAlignment="1">
      <alignment vertical="center" wrapText="1"/>
    </xf>
    <xf numFmtId="179" fontId="45" fillId="0" borderId="1" xfId="0" applyNumberFormat="1" applyFont="1" applyBorder="1" applyAlignment="1">
      <alignment vertical="center" wrapText="1"/>
    </xf>
    <xf numFmtId="178" fontId="44" fillId="0" borderId="1" xfId="0" applyNumberFormat="1" applyFont="1" applyBorder="1" applyAlignment="1">
      <alignment horizontal="left" vertical="center" wrapText="1"/>
    </xf>
    <xf numFmtId="9" fontId="44" fillId="0" borderId="1" xfId="0" applyNumberFormat="1" applyFont="1" applyBorder="1" applyAlignment="1">
      <alignment horizontal="left" vertical="center" wrapText="1"/>
    </xf>
    <xf numFmtId="0" fontId="45" fillId="0" borderId="1" xfId="0" applyFont="1" applyBorder="1" applyAlignment="1">
      <alignment vertical="center" wrapText="1"/>
    </xf>
    <xf numFmtId="0" fontId="2" fillId="0" borderId="1" xfId="0" applyFont="1" applyBorder="1" applyAlignment="1">
      <alignment horizontal="left" vertical="center"/>
    </xf>
    <xf numFmtId="0" fontId="6" fillId="0" borderId="1" xfId="0" applyFont="1" applyBorder="1" applyAlignment="1">
      <alignment vertical="center" wrapText="1"/>
    </xf>
    <xf numFmtId="179" fontId="8" fillId="0" borderId="1" xfId="0" applyNumberFormat="1" applyFont="1" applyBorder="1" applyAlignment="1">
      <alignment vertical="center" wrapText="1"/>
    </xf>
    <xf numFmtId="179" fontId="8" fillId="0" borderId="1" xfId="0" applyNumberFormat="1" applyFont="1" applyFill="1" applyBorder="1" applyAlignment="1">
      <alignment vertical="center" wrapText="1"/>
    </xf>
    <xf numFmtId="179" fontId="2" fillId="0" borderId="1" xfId="0" applyNumberFormat="1" applyFont="1" applyBorder="1" applyAlignment="1">
      <alignment horizontal="left" vertical="center" wrapText="1"/>
    </xf>
    <xf numFmtId="176" fontId="25" fillId="6" borderId="1" xfId="0" applyNumberFormat="1" applyFont="1" applyFill="1" applyBorder="1" applyAlignment="1">
      <alignment horizontal="center" vertical="center"/>
    </xf>
    <xf numFmtId="0" fontId="49" fillId="0" borderId="0" xfId="0" applyFont="1" applyAlignment="1">
      <alignment vertical="center" wrapText="1"/>
    </xf>
    <xf numFmtId="0" fontId="50" fillId="0" borderId="1" xfId="0" applyFont="1" applyBorder="1" applyAlignment="1">
      <alignment horizontal="left" vertical="center" wrapText="1"/>
    </xf>
    <xf numFmtId="9" fontId="44" fillId="0" borderId="1" xfId="3" applyFont="1" applyBorder="1" applyAlignment="1">
      <alignment horizontal="left" vertical="center" wrapText="1"/>
    </xf>
    <xf numFmtId="9" fontId="2" fillId="0" borderId="1" xfId="3" applyFont="1" applyBorder="1" applyAlignment="1">
      <alignment horizontal="left" vertical="center" wrapText="1"/>
    </xf>
    <xf numFmtId="178" fontId="23" fillId="6" borderId="1" xfId="0" applyNumberFormat="1" applyFont="1" applyFill="1" applyBorder="1" applyAlignment="1">
      <alignment horizontal="right" vertical="center"/>
    </xf>
    <xf numFmtId="179" fontId="44" fillId="0" borderId="1" xfId="0" applyNumberFormat="1" applyFont="1" applyBorder="1" applyAlignment="1">
      <alignment horizontal="left" vertical="center" wrapText="1"/>
    </xf>
    <xf numFmtId="0" fontId="31" fillId="0" borderId="1" xfId="0" applyFont="1" applyBorder="1">
      <alignment vertical="center"/>
    </xf>
    <xf numFmtId="179" fontId="31" fillId="0" borderId="1" xfId="0" applyNumberFormat="1" applyFont="1" applyBorder="1">
      <alignment vertical="center"/>
    </xf>
    <xf numFmtId="2" fontId="5" fillId="5" borderId="0" xfId="0" applyNumberFormat="1" applyFont="1" applyFill="1" applyAlignment="1">
      <alignment vertical="center"/>
    </xf>
    <xf numFmtId="179" fontId="31" fillId="0" borderId="1" xfId="0" applyNumberFormat="1" applyFont="1" applyBorder="1" applyAlignment="1" applyProtection="1">
      <alignment horizontal="right" vertical="center"/>
      <protection hidden="1"/>
    </xf>
    <xf numFmtId="0" fontId="51" fillId="0" borderId="1" xfId="0" applyFont="1" applyBorder="1" applyAlignment="1">
      <alignment vertical="center" wrapText="1"/>
    </xf>
    <xf numFmtId="178" fontId="33" fillId="0" borderId="1" xfId="0" applyNumberFormat="1" applyFont="1" applyBorder="1" applyAlignment="1" applyProtection="1">
      <alignment horizontal="right" vertical="center"/>
      <protection hidden="1"/>
    </xf>
    <xf numFmtId="176" fontId="2" fillId="0" borderId="1" xfId="0" applyNumberFormat="1" applyFont="1" applyBorder="1" applyAlignment="1">
      <alignment horizontal="left" vertical="center" wrapText="1"/>
    </xf>
    <xf numFmtId="178" fontId="52" fillId="0" borderId="1" xfId="0" applyNumberFormat="1" applyFont="1" applyBorder="1" applyAlignment="1">
      <alignment horizontal="left" vertical="center" wrapText="1"/>
    </xf>
    <xf numFmtId="9" fontId="52" fillId="0" borderId="1" xfId="0" applyNumberFormat="1" applyFont="1" applyBorder="1" applyAlignment="1">
      <alignment horizontal="left" vertical="center" wrapText="1"/>
    </xf>
    <xf numFmtId="178" fontId="33" fillId="6" borderId="1" xfId="0" applyNumberFormat="1" applyFont="1" applyFill="1" applyBorder="1" applyAlignment="1">
      <alignment horizontal="right" vertical="center"/>
    </xf>
    <xf numFmtId="178" fontId="33" fillId="6" borderId="1" xfId="0" applyNumberFormat="1" applyFont="1" applyFill="1" applyBorder="1" applyAlignment="1">
      <alignment horizontal="right" vertical="center" wrapText="1"/>
    </xf>
    <xf numFmtId="176" fontId="45" fillId="0" borderId="1" xfId="0" applyNumberFormat="1" applyFont="1" applyBorder="1" applyAlignment="1">
      <alignment vertical="center" wrapText="1"/>
    </xf>
    <xf numFmtId="0" fontId="19" fillId="0" borderId="1" xfId="0" applyFont="1" applyFill="1" applyBorder="1" applyAlignment="1">
      <alignment horizontal="left" vertical="center" wrapText="1"/>
    </xf>
    <xf numFmtId="0" fontId="0" fillId="0" borderId="0" xfId="0" applyAlignment="1">
      <alignment horizontal="right" vertical="center" wrapText="1"/>
    </xf>
    <xf numFmtId="0" fontId="8" fillId="7" borderId="1" xfId="0" applyFont="1" applyFill="1" applyBorder="1" applyAlignment="1">
      <alignment vertical="center" wrapText="1"/>
    </xf>
    <xf numFmtId="178" fontId="53" fillId="0" borderId="1" xfId="0" applyNumberFormat="1" applyFont="1" applyBorder="1" applyAlignment="1">
      <alignment horizontal="left" vertical="center" wrapText="1"/>
    </xf>
    <xf numFmtId="0" fontId="33" fillId="0" borderId="1" xfId="0" applyFont="1" applyBorder="1" applyAlignment="1">
      <alignment vertical="center" wrapText="1"/>
    </xf>
    <xf numFmtId="179" fontId="53" fillId="0" borderId="1" xfId="0" applyNumberFormat="1" applyFont="1" applyBorder="1" applyAlignment="1">
      <alignment horizontal="left" vertical="center" wrapText="1"/>
    </xf>
    <xf numFmtId="9" fontId="53" fillId="0" borderId="1" xfId="0" applyNumberFormat="1" applyFont="1" applyBorder="1" applyAlignment="1">
      <alignment horizontal="left" vertical="center" wrapText="1"/>
    </xf>
    <xf numFmtId="0" fontId="33" fillId="0" borderId="1" xfId="0" applyFont="1" applyBorder="1" applyAlignment="1">
      <alignment horizontal="right" vertical="center" wrapText="1"/>
    </xf>
    <xf numFmtId="0" fontId="54" fillId="0" borderId="1" xfId="0" applyFont="1" applyBorder="1" applyAlignment="1">
      <alignment vertical="center"/>
    </xf>
    <xf numFmtId="0" fontId="54" fillId="0" borderId="1" xfId="0" applyFont="1" applyBorder="1" applyAlignment="1">
      <alignment vertical="center" wrapText="1"/>
    </xf>
    <xf numFmtId="178" fontId="23" fillId="5" borderId="1" xfId="0" applyNumberFormat="1" applyFont="1" applyFill="1" applyBorder="1" applyAlignment="1">
      <alignment horizontal="right" vertical="center" wrapText="1"/>
    </xf>
    <xf numFmtId="178" fontId="20" fillId="5" borderId="1" xfId="0" applyNumberFormat="1"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166" dbFileVersion="0">
    <open main="221" threadCnt="1"/>
    <sheetInfos>
      <sheetInfo cellCmpFml="102" sheetStid="1">
        <open main="8" threadCnt="1"/>
      </sheetInfo>
      <sheetInfo cellCmpFml="64" sheetStid="4">
        <open main="6" threadCnt="1"/>
      </sheetInfo>
      <sheetInfo cellCmpFml="0" sheetStid="3">
        <open threadCnt="1"/>
      </sheetInfo>
    </sheetInfos>
  </bookInfo>
</woInfos>
</file>

<file path=xl/_rels/cellimages.xml.rels><?xml version="1.0" encoding="UTF-8" standalone="yes"?>
<Relationships xmlns="http://schemas.openxmlformats.org/package/2006/relationships"><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9" Type="http://schemas.openxmlformats.org/officeDocument/2006/relationships/externalLink" Target="externalLinks/externalLink96.xml"/><Relationship Id="rId98" Type="http://schemas.openxmlformats.org/officeDocument/2006/relationships/externalLink" Target="externalLinks/externalLink95.xml"/><Relationship Id="rId97" Type="http://schemas.openxmlformats.org/officeDocument/2006/relationships/externalLink" Target="externalLinks/externalLink94.xml"/><Relationship Id="rId96" Type="http://schemas.openxmlformats.org/officeDocument/2006/relationships/externalLink" Target="externalLinks/externalLink93.xml"/><Relationship Id="rId95" Type="http://schemas.openxmlformats.org/officeDocument/2006/relationships/externalLink" Target="externalLinks/externalLink92.xml"/><Relationship Id="rId94" Type="http://schemas.openxmlformats.org/officeDocument/2006/relationships/externalLink" Target="externalLinks/externalLink91.xml"/><Relationship Id="rId93" Type="http://schemas.openxmlformats.org/officeDocument/2006/relationships/externalLink" Target="externalLinks/externalLink90.xml"/><Relationship Id="rId92" Type="http://schemas.openxmlformats.org/officeDocument/2006/relationships/externalLink" Target="externalLinks/externalLink89.xml"/><Relationship Id="rId91" Type="http://schemas.openxmlformats.org/officeDocument/2006/relationships/externalLink" Target="externalLinks/externalLink88.xml"/><Relationship Id="rId90" Type="http://schemas.openxmlformats.org/officeDocument/2006/relationships/externalLink" Target="externalLinks/externalLink87.xml"/><Relationship Id="rId9" Type="http://schemas.openxmlformats.org/officeDocument/2006/relationships/externalLink" Target="externalLinks/externalLink6.xml"/><Relationship Id="rId89" Type="http://schemas.openxmlformats.org/officeDocument/2006/relationships/externalLink" Target="externalLinks/externalLink86.xml"/><Relationship Id="rId88" Type="http://schemas.openxmlformats.org/officeDocument/2006/relationships/externalLink" Target="externalLinks/externalLink85.xml"/><Relationship Id="rId87" Type="http://schemas.openxmlformats.org/officeDocument/2006/relationships/externalLink" Target="externalLinks/externalLink84.xml"/><Relationship Id="rId86" Type="http://schemas.openxmlformats.org/officeDocument/2006/relationships/externalLink" Target="externalLinks/externalLink83.xml"/><Relationship Id="rId85" Type="http://schemas.openxmlformats.org/officeDocument/2006/relationships/externalLink" Target="externalLinks/externalLink82.xml"/><Relationship Id="rId84" Type="http://schemas.openxmlformats.org/officeDocument/2006/relationships/externalLink" Target="externalLinks/externalLink81.xml"/><Relationship Id="rId83" Type="http://schemas.openxmlformats.org/officeDocument/2006/relationships/externalLink" Target="externalLinks/externalLink80.xml"/><Relationship Id="rId82" Type="http://schemas.openxmlformats.org/officeDocument/2006/relationships/externalLink" Target="externalLinks/externalLink79.xml"/><Relationship Id="rId81" Type="http://schemas.openxmlformats.org/officeDocument/2006/relationships/externalLink" Target="externalLinks/externalLink78.xml"/><Relationship Id="rId80" Type="http://schemas.openxmlformats.org/officeDocument/2006/relationships/externalLink" Target="externalLinks/externalLink77.xml"/><Relationship Id="rId8" Type="http://schemas.openxmlformats.org/officeDocument/2006/relationships/externalLink" Target="externalLinks/externalLink5.xml"/><Relationship Id="rId79" Type="http://schemas.openxmlformats.org/officeDocument/2006/relationships/externalLink" Target="externalLinks/externalLink76.xml"/><Relationship Id="rId78" Type="http://schemas.openxmlformats.org/officeDocument/2006/relationships/externalLink" Target="externalLinks/externalLink75.xml"/><Relationship Id="rId77" Type="http://schemas.openxmlformats.org/officeDocument/2006/relationships/externalLink" Target="externalLinks/externalLink74.xml"/><Relationship Id="rId76" Type="http://schemas.openxmlformats.org/officeDocument/2006/relationships/externalLink" Target="externalLinks/externalLink73.xml"/><Relationship Id="rId75" Type="http://schemas.openxmlformats.org/officeDocument/2006/relationships/externalLink" Target="externalLinks/externalLink72.xml"/><Relationship Id="rId74" Type="http://schemas.openxmlformats.org/officeDocument/2006/relationships/externalLink" Target="externalLinks/externalLink71.xml"/><Relationship Id="rId73" Type="http://schemas.openxmlformats.org/officeDocument/2006/relationships/externalLink" Target="externalLinks/externalLink70.xml"/><Relationship Id="rId72" Type="http://schemas.openxmlformats.org/officeDocument/2006/relationships/externalLink" Target="externalLinks/externalLink69.xml"/><Relationship Id="rId71" Type="http://schemas.openxmlformats.org/officeDocument/2006/relationships/externalLink" Target="externalLinks/externalLink68.xml"/><Relationship Id="rId70" Type="http://schemas.openxmlformats.org/officeDocument/2006/relationships/externalLink" Target="externalLinks/externalLink67.xml"/><Relationship Id="rId7" Type="http://schemas.openxmlformats.org/officeDocument/2006/relationships/externalLink" Target="externalLinks/externalLink4.xml"/><Relationship Id="rId69" Type="http://schemas.openxmlformats.org/officeDocument/2006/relationships/externalLink" Target="externalLinks/externalLink66.xml"/><Relationship Id="rId68" Type="http://schemas.openxmlformats.org/officeDocument/2006/relationships/externalLink" Target="externalLinks/externalLink65.xml"/><Relationship Id="rId67" Type="http://schemas.openxmlformats.org/officeDocument/2006/relationships/externalLink" Target="externalLinks/externalLink64.xml"/><Relationship Id="rId66" Type="http://schemas.openxmlformats.org/officeDocument/2006/relationships/externalLink" Target="externalLinks/externalLink63.xml"/><Relationship Id="rId65" Type="http://schemas.openxmlformats.org/officeDocument/2006/relationships/externalLink" Target="externalLinks/externalLink62.xml"/><Relationship Id="rId64" Type="http://schemas.openxmlformats.org/officeDocument/2006/relationships/externalLink" Target="externalLinks/externalLink61.xml"/><Relationship Id="rId63" Type="http://schemas.openxmlformats.org/officeDocument/2006/relationships/externalLink" Target="externalLinks/externalLink60.xml"/><Relationship Id="rId62" Type="http://schemas.openxmlformats.org/officeDocument/2006/relationships/externalLink" Target="externalLinks/externalLink59.xml"/><Relationship Id="rId61" Type="http://schemas.openxmlformats.org/officeDocument/2006/relationships/externalLink" Target="externalLinks/externalLink58.xml"/><Relationship Id="rId60" Type="http://schemas.openxmlformats.org/officeDocument/2006/relationships/externalLink" Target="externalLinks/externalLink57.xml"/><Relationship Id="rId6" Type="http://schemas.openxmlformats.org/officeDocument/2006/relationships/externalLink" Target="externalLinks/externalLink3.xml"/><Relationship Id="rId59" Type="http://schemas.openxmlformats.org/officeDocument/2006/relationships/externalLink" Target="externalLinks/externalLink56.xml"/><Relationship Id="rId58" Type="http://schemas.openxmlformats.org/officeDocument/2006/relationships/externalLink" Target="externalLinks/externalLink55.xml"/><Relationship Id="rId57" Type="http://schemas.openxmlformats.org/officeDocument/2006/relationships/externalLink" Target="externalLinks/externalLink54.xml"/><Relationship Id="rId56" Type="http://schemas.openxmlformats.org/officeDocument/2006/relationships/externalLink" Target="externalLinks/externalLink53.xml"/><Relationship Id="rId55" Type="http://schemas.openxmlformats.org/officeDocument/2006/relationships/externalLink" Target="externalLinks/externalLink52.xml"/><Relationship Id="rId54" Type="http://schemas.openxmlformats.org/officeDocument/2006/relationships/externalLink" Target="externalLinks/externalLink51.xml"/><Relationship Id="rId53" Type="http://schemas.openxmlformats.org/officeDocument/2006/relationships/externalLink" Target="externalLinks/externalLink50.xml"/><Relationship Id="rId52" Type="http://schemas.openxmlformats.org/officeDocument/2006/relationships/externalLink" Target="externalLinks/externalLink49.xml"/><Relationship Id="rId51" Type="http://schemas.openxmlformats.org/officeDocument/2006/relationships/externalLink" Target="externalLinks/externalLink48.xml"/><Relationship Id="rId50" Type="http://schemas.openxmlformats.org/officeDocument/2006/relationships/externalLink" Target="externalLinks/externalLink47.xml"/><Relationship Id="rId5" Type="http://schemas.openxmlformats.org/officeDocument/2006/relationships/externalLink" Target="externalLinks/externalLink2.xml"/><Relationship Id="rId49" Type="http://schemas.openxmlformats.org/officeDocument/2006/relationships/externalLink" Target="externalLinks/externalLink46.xml"/><Relationship Id="rId48" Type="http://schemas.openxmlformats.org/officeDocument/2006/relationships/externalLink" Target="externalLinks/externalLink45.xml"/><Relationship Id="rId47" Type="http://schemas.openxmlformats.org/officeDocument/2006/relationships/externalLink" Target="externalLinks/externalLink44.xml"/><Relationship Id="rId46" Type="http://schemas.openxmlformats.org/officeDocument/2006/relationships/externalLink" Target="externalLinks/externalLink43.xml"/><Relationship Id="rId45" Type="http://schemas.openxmlformats.org/officeDocument/2006/relationships/externalLink" Target="externalLinks/externalLink42.xml"/><Relationship Id="rId44" Type="http://schemas.openxmlformats.org/officeDocument/2006/relationships/externalLink" Target="externalLinks/externalLink41.xml"/><Relationship Id="rId43" Type="http://schemas.openxmlformats.org/officeDocument/2006/relationships/externalLink" Target="externalLinks/externalLink40.xml"/><Relationship Id="rId42" Type="http://schemas.openxmlformats.org/officeDocument/2006/relationships/externalLink" Target="externalLinks/externalLink39.xml"/><Relationship Id="rId41" Type="http://schemas.openxmlformats.org/officeDocument/2006/relationships/externalLink" Target="externalLinks/externalLink38.xml"/><Relationship Id="rId40" Type="http://schemas.openxmlformats.org/officeDocument/2006/relationships/externalLink" Target="externalLinks/externalLink37.xml"/><Relationship Id="rId4" Type="http://schemas.openxmlformats.org/officeDocument/2006/relationships/externalLink" Target="externalLinks/externalLink1.xml"/><Relationship Id="rId39" Type="http://schemas.openxmlformats.org/officeDocument/2006/relationships/externalLink" Target="externalLinks/externalLink36.xml"/><Relationship Id="rId38" Type="http://schemas.openxmlformats.org/officeDocument/2006/relationships/externalLink" Target="externalLinks/externalLink35.xml"/><Relationship Id="rId37" Type="http://schemas.openxmlformats.org/officeDocument/2006/relationships/externalLink" Target="externalLinks/externalLink34.xml"/><Relationship Id="rId36" Type="http://schemas.openxmlformats.org/officeDocument/2006/relationships/externalLink" Target="externalLinks/externalLink33.xml"/><Relationship Id="rId35" Type="http://schemas.openxmlformats.org/officeDocument/2006/relationships/externalLink" Target="externalLinks/externalLink32.xml"/><Relationship Id="rId34" Type="http://schemas.openxmlformats.org/officeDocument/2006/relationships/externalLink" Target="externalLinks/externalLink31.xml"/><Relationship Id="rId33" Type="http://schemas.openxmlformats.org/officeDocument/2006/relationships/externalLink" Target="externalLinks/externalLink30.xml"/><Relationship Id="rId32" Type="http://schemas.openxmlformats.org/officeDocument/2006/relationships/externalLink" Target="externalLinks/externalLink29.xml"/><Relationship Id="rId31" Type="http://schemas.openxmlformats.org/officeDocument/2006/relationships/externalLink" Target="externalLinks/externalLink28.xml"/><Relationship Id="rId30" Type="http://schemas.openxmlformats.org/officeDocument/2006/relationships/externalLink" Target="externalLinks/externalLink27.xml"/><Relationship Id="rId3" Type="http://schemas.openxmlformats.org/officeDocument/2006/relationships/worksheet" Target="worksheets/sheet3.xml"/><Relationship Id="rId29" Type="http://schemas.openxmlformats.org/officeDocument/2006/relationships/externalLink" Target="externalLinks/externalLink26.xml"/><Relationship Id="rId28" Type="http://schemas.openxmlformats.org/officeDocument/2006/relationships/externalLink" Target="externalLinks/externalLink25.xml"/><Relationship Id="rId27" Type="http://schemas.openxmlformats.org/officeDocument/2006/relationships/externalLink" Target="externalLinks/externalLink24.xml"/><Relationship Id="rId26" Type="http://schemas.openxmlformats.org/officeDocument/2006/relationships/externalLink" Target="externalLinks/externalLink23.xml"/><Relationship Id="rId25" Type="http://schemas.openxmlformats.org/officeDocument/2006/relationships/externalLink" Target="externalLinks/externalLink22.xml"/><Relationship Id="rId24" Type="http://schemas.openxmlformats.org/officeDocument/2006/relationships/externalLink" Target="externalLinks/externalLink21.xml"/><Relationship Id="rId23" Type="http://schemas.openxmlformats.org/officeDocument/2006/relationships/externalLink" Target="externalLinks/externalLink20.xml"/><Relationship Id="rId22" Type="http://schemas.openxmlformats.org/officeDocument/2006/relationships/externalLink" Target="externalLinks/externalLink19.xml"/><Relationship Id="rId21" Type="http://schemas.openxmlformats.org/officeDocument/2006/relationships/externalLink" Target="externalLinks/externalLink18.xml"/><Relationship Id="rId20" Type="http://schemas.openxmlformats.org/officeDocument/2006/relationships/externalLink" Target="externalLinks/externalLink17.xml"/><Relationship Id="rId2" Type="http://schemas.openxmlformats.org/officeDocument/2006/relationships/worksheet" Target="worksheets/sheet2.xml"/><Relationship Id="rId19" Type="http://schemas.openxmlformats.org/officeDocument/2006/relationships/externalLink" Target="externalLinks/externalLink16.xml"/><Relationship Id="rId18" Type="http://schemas.openxmlformats.org/officeDocument/2006/relationships/externalLink" Target="externalLinks/externalLink15.xml"/><Relationship Id="rId178" Type="http://www.wps.cn/officeDocument/2023/relationships/woinfos" Target="woinfos.xml"/><Relationship Id="rId177" Type="http://schemas.openxmlformats.org/officeDocument/2006/relationships/styles" Target="styles.xml"/><Relationship Id="rId176" Type="http://schemas.openxmlformats.org/officeDocument/2006/relationships/customXml" Target="../customXml/item4.xml"/><Relationship Id="rId175" Type="http://schemas.openxmlformats.org/officeDocument/2006/relationships/customXml" Target="../customXml/item3.xml"/><Relationship Id="rId174" Type="http://schemas.openxmlformats.org/officeDocument/2006/relationships/customXml" Target="../customXml/item2.xml"/><Relationship Id="rId173" Type="http://www.wps.cn/officeDocument/2020/cellImage" Target="cellimages.xml"/><Relationship Id="rId172" Type="http://schemas.openxmlformats.org/officeDocument/2006/relationships/sharedStrings" Target="sharedStrings.xml"/><Relationship Id="rId171" Type="http://schemas.openxmlformats.org/officeDocument/2006/relationships/theme" Target="theme/theme1.xml"/><Relationship Id="rId170" Type="http://schemas.openxmlformats.org/officeDocument/2006/relationships/customXml" Target="../customXml/item1.xml"/><Relationship Id="rId17" Type="http://schemas.openxmlformats.org/officeDocument/2006/relationships/externalLink" Target="externalLinks/externalLink14.xml"/><Relationship Id="rId169" Type="http://schemas.openxmlformats.org/officeDocument/2006/relationships/externalLink" Target="externalLinks/externalLink166.xml"/><Relationship Id="rId168" Type="http://schemas.openxmlformats.org/officeDocument/2006/relationships/externalLink" Target="externalLinks/externalLink165.xml"/><Relationship Id="rId167" Type="http://schemas.openxmlformats.org/officeDocument/2006/relationships/externalLink" Target="externalLinks/externalLink164.xml"/><Relationship Id="rId166" Type="http://schemas.openxmlformats.org/officeDocument/2006/relationships/externalLink" Target="externalLinks/externalLink163.xml"/><Relationship Id="rId165" Type="http://schemas.openxmlformats.org/officeDocument/2006/relationships/externalLink" Target="externalLinks/externalLink162.xml"/><Relationship Id="rId164" Type="http://schemas.openxmlformats.org/officeDocument/2006/relationships/externalLink" Target="externalLinks/externalLink161.xml"/><Relationship Id="rId163" Type="http://schemas.openxmlformats.org/officeDocument/2006/relationships/externalLink" Target="externalLinks/externalLink160.xml"/><Relationship Id="rId162" Type="http://schemas.openxmlformats.org/officeDocument/2006/relationships/externalLink" Target="externalLinks/externalLink159.xml"/><Relationship Id="rId161" Type="http://schemas.openxmlformats.org/officeDocument/2006/relationships/externalLink" Target="externalLinks/externalLink158.xml"/><Relationship Id="rId160" Type="http://schemas.openxmlformats.org/officeDocument/2006/relationships/externalLink" Target="externalLinks/externalLink157.xml"/><Relationship Id="rId16" Type="http://schemas.openxmlformats.org/officeDocument/2006/relationships/externalLink" Target="externalLinks/externalLink13.xml"/><Relationship Id="rId159" Type="http://schemas.openxmlformats.org/officeDocument/2006/relationships/externalLink" Target="externalLinks/externalLink156.xml"/><Relationship Id="rId158" Type="http://schemas.openxmlformats.org/officeDocument/2006/relationships/externalLink" Target="externalLinks/externalLink155.xml"/><Relationship Id="rId157" Type="http://schemas.openxmlformats.org/officeDocument/2006/relationships/externalLink" Target="externalLinks/externalLink154.xml"/><Relationship Id="rId156" Type="http://schemas.openxmlformats.org/officeDocument/2006/relationships/externalLink" Target="externalLinks/externalLink153.xml"/><Relationship Id="rId155" Type="http://schemas.openxmlformats.org/officeDocument/2006/relationships/externalLink" Target="externalLinks/externalLink152.xml"/><Relationship Id="rId154" Type="http://schemas.openxmlformats.org/officeDocument/2006/relationships/externalLink" Target="externalLinks/externalLink151.xml"/><Relationship Id="rId153" Type="http://schemas.openxmlformats.org/officeDocument/2006/relationships/externalLink" Target="externalLinks/externalLink150.xml"/><Relationship Id="rId152" Type="http://schemas.openxmlformats.org/officeDocument/2006/relationships/externalLink" Target="externalLinks/externalLink149.xml"/><Relationship Id="rId151" Type="http://schemas.openxmlformats.org/officeDocument/2006/relationships/externalLink" Target="externalLinks/externalLink148.xml"/><Relationship Id="rId150" Type="http://schemas.openxmlformats.org/officeDocument/2006/relationships/externalLink" Target="externalLinks/externalLink147.xml"/><Relationship Id="rId15" Type="http://schemas.openxmlformats.org/officeDocument/2006/relationships/externalLink" Target="externalLinks/externalLink12.xml"/><Relationship Id="rId149" Type="http://schemas.openxmlformats.org/officeDocument/2006/relationships/externalLink" Target="externalLinks/externalLink146.xml"/><Relationship Id="rId148" Type="http://schemas.openxmlformats.org/officeDocument/2006/relationships/externalLink" Target="externalLinks/externalLink145.xml"/><Relationship Id="rId147" Type="http://schemas.openxmlformats.org/officeDocument/2006/relationships/externalLink" Target="externalLinks/externalLink144.xml"/><Relationship Id="rId146" Type="http://schemas.openxmlformats.org/officeDocument/2006/relationships/externalLink" Target="externalLinks/externalLink143.xml"/><Relationship Id="rId145" Type="http://schemas.openxmlformats.org/officeDocument/2006/relationships/externalLink" Target="externalLinks/externalLink142.xml"/><Relationship Id="rId144" Type="http://schemas.openxmlformats.org/officeDocument/2006/relationships/externalLink" Target="externalLinks/externalLink141.xml"/><Relationship Id="rId143" Type="http://schemas.openxmlformats.org/officeDocument/2006/relationships/externalLink" Target="externalLinks/externalLink140.xml"/><Relationship Id="rId142" Type="http://schemas.openxmlformats.org/officeDocument/2006/relationships/externalLink" Target="externalLinks/externalLink139.xml"/><Relationship Id="rId141" Type="http://schemas.openxmlformats.org/officeDocument/2006/relationships/externalLink" Target="externalLinks/externalLink138.xml"/><Relationship Id="rId140" Type="http://schemas.openxmlformats.org/officeDocument/2006/relationships/externalLink" Target="externalLinks/externalLink137.xml"/><Relationship Id="rId14" Type="http://schemas.openxmlformats.org/officeDocument/2006/relationships/externalLink" Target="externalLinks/externalLink11.xml"/><Relationship Id="rId139" Type="http://schemas.openxmlformats.org/officeDocument/2006/relationships/externalLink" Target="externalLinks/externalLink136.xml"/><Relationship Id="rId138" Type="http://schemas.openxmlformats.org/officeDocument/2006/relationships/externalLink" Target="externalLinks/externalLink135.xml"/><Relationship Id="rId137" Type="http://schemas.openxmlformats.org/officeDocument/2006/relationships/externalLink" Target="externalLinks/externalLink134.xml"/><Relationship Id="rId136" Type="http://schemas.openxmlformats.org/officeDocument/2006/relationships/externalLink" Target="externalLinks/externalLink133.xml"/><Relationship Id="rId135" Type="http://schemas.openxmlformats.org/officeDocument/2006/relationships/externalLink" Target="externalLinks/externalLink132.xml"/><Relationship Id="rId134" Type="http://schemas.openxmlformats.org/officeDocument/2006/relationships/externalLink" Target="externalLinks/externalLink131.xml"/><Relationship Id="rId133" Type="http://schemas.openxmlformats.org/officeDocument/2006/relationships/externalLink" Target="externalLinks/externalLink130.xml"/><Relationship Id="rId132" Type="http://schemas.openxmlformats.org/officeDocument/2006/relationships/externalLink" Target="externalLinks/externalLink129.xml"/><Relationship Id="rId131" Type="http://schemas.openxmlformats.org/officeDocument/2006/relationships/externalLink" Target="externalLinks/externalLink128.xml"/><Relationship Id="rId130" Type="http://schemas.openxmlformats.org/officeDocument/2006/relationships/externalLink" Target="externalLinks/externalLink127.xml"/><Relationship Id="rId13" Type="http://schemas.openxmlformats.org/officeDocument/2006/relationships/externalLink" Target="externalLinks/externalLink10.xml"/><Relationship Id="rId129" Type="http://schemas.openxmlformats.org/officeDocument/2006/relationships/externalLink" Target="externalLinks/externalLink126.xml"/><Relationship Id="rId128" Type="http://schemas.openxmlformats.org/officeDocument/2006/relationships/externalLink" Target="externalLinks/externalLink125.xml"/><Relationship Id="rId127" Type="http://schemas.openxmlformats.org/officeDocument/2006/relationships/externalLink" Target="externalLinks/externalLink124.xml"/><Relationship Id="rId126" Type="http://schemas.openxmlformats.org/officeDocument/2006/relationships/externalLink" Target="externalLinks/externalLink123.xml"/><Relationship Id="rId125" Type="http://schemas.openxmlformats.org/officeDocument/2006/relationships/externalLink" Target="externalLinks/externalLink122.xml"/><Relationship Id="rId124" Type="http://schemas.openxmlformats.org/officeDocument/2006/relationships/externalLink" Target="externalLinks/externalLink121.xml"/><Relationship Id="rId123" Type="http://schemas.openxmlformats.org/officeDocument/2006/relationships/externalLink" Target="externalLinks/externalLink120.xml"/><Relationship Id="rId122" Type="http://schemas.openxmlformats.org/officeDocument/2006/relationships/externalLink" Target="externalLinks/externalLink119.xml"/><Relationship Id="rId121" Type="http://schemas.openxmlformats.org/officeDocument/2006/relationships/externalLink" Target="externalLinks/externalLink118.xml"/><Relationship Id="rId120" Type="http://schemas.openxmlformats.org/officeDocument/2006/relationships/externalLink" Target="externalLinks/externalLink117.xml"/><Relationship Id="rId12" Type="http://schemas.openxmlformats.org/officeDocument/2006/relationships/externalLink" Target="externalLinks/externalLink9.xml"/><Relationship Id="rId119" Type="http://schemas.openxmlformats.org/officeDocument/2006/relationships/externalLink" Target="externalLinks/externalLink116.xml"/><Relationship Id="rId118" Type="http://schemas.openxmlformats.org/officeDocument/2006/relationships/externalLink" Target="externalLinks/externalLink115.xml"/><Relationship Id="rId117" Type="http://schemas.openxmlformats.org/officeDocument/2006/relationships/externalLink" Target="externalLinks/externalLink114.xml"/><Relationship Id="rId116" Type="http://schemas.openxmlformats.org/officeDocument/2006/relationships/externalLink" Target="externalLinks/externalLink113.xml"/><Relationship Id="rId115" Type="http://schemas.openxmlformats.org/officeDocument/2006/relationships/externalLink" Target="externalLinks/externalLink112.xml"/><Relationship Id="rId114" Type="http://schemas.openxmlformats.org/officeDocument/2006/relationships/externalLink" Target="externalLinks/externalLink111.xml"/><Relationship Id="rId113" Type="http://schemas.openxmlformats.org/officeDocument/2006/relationships/externalLink" Target="externalLinks/externalLink110.xml"/><Relationship Id="rId112" Type="http://schemas.openxmlformats.org/officeDocument/2006/relationships/externalLink" Target="externalLinks/externalLink109.xml"/><Relationship Id="rId111" Type="http://schemas.openxmlformats.org/officeDocument/2006/relationships/externalLink" Target="externalLinks/externalLink108.xml"/><Relationship Id="rId110" Type="http://schemas.openxmlformats.org/officeDocument/2006/relationships/externalLink" Target="externalLinks/externalLink107.xml"/><Relationship Id="rId11" Type="http://schemas.openxmlformats.org/officeDocument/2006/relationships/externalLink" Target="externalLinks/externalLink8.xml"/><Relationship Id="rId109" Type="http://schemas.openxmlformats.org/officeDocument/2006/relationships/externalLink" Target="externalLinks/externalLink106.xml"/><Relationship Id="rId108" Type="http://schemas.openxmlformats.org/officeDocument/2006/relationships/externalLink" Target="externalLinks/externalLink105.xml"/><Relationship Id="rId107" Type="http://schemas.openxmlformats.org/officeDocument/2006/relationships/externalLink" Target="externalLinks/externalLink104.xml"/><Relationship Id="rId106" Type="http://schemas.openxmlformats.org/officeDocument/2006/relationships/externalLink" Target="externalLinks/externalLink103.xml"/><Relationship Id="rId105" Type="http://schemas.openxmlformats.org/officeDocument/2006/relationships/externalLink" Target="externalLinks/externalLink102.xml"/><Relationship Id="rId104" Type="http://schemas.openxmlformats.org/officeDocument/2006/relationships/externalLink" Target="externalLinks/externalLink101.xml"/><Relationship Id="rId103" Type="http://schemas.openxmlformats.org/officeDocument/2006/relationships/externalLink" Target="externalLinks/externalLink100.xml"/><Relationship Id="rId102" Type="http://schemas.openxmlformats.org/officeDocument/2006/relationships/externalLink" Target="externalLinks/externalLink99.xml"/><Relationship Id="rId101" Type="http://schemas.openxmlformats.org/officeDocument/2006/relationships/externalLink" Target="externalLinks/externalLink98.xml"/><Relationship Id="rId100" Type="http://schemas.openxmlformats.org/officeDocument/2006/relationships/externalLink" Target="externalLinks/externalLink97.xml"/><Relationship Id="rId10" Type="http://schemas.openxmlformats.org/officeDocument/2006/relationships/externalLink" Target="externalLinks/externalLink7.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13</xdr:col>
      <xdr:colOff>228600</xdr:colOff>
      <xdr:row>14</xdr:row>
      <xdr:rowOff>133985</xdr:rowOff>
    </xdr:to>
    <xdr:pic>
      <xdr:nvPicPr>
        <xdr:cNvPr id="3" name="ID_739AA885C30C471A8F9F88960B22E27D" descr="post_object_image_1025837927"/>
        <xdr:cNvPicPr/>
      </xdr:nvPicPr>
      <xdr:blipFill>
        <a:blip r:embed="rId1"/>
        <a:stretch>
          <a:fillRect/>
        </a:stretch>
      </xdr:blipFill>
      <xdr:spPr>
        <a:xfrm>
          <a:off x="0" y="0"/>
          <a:ext cx="9144000" cy="29343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pl7/Accounting/Documents%20and%20Settings/mdeisner/My%20Documents/1MY%20DOCS/CurrMo'lyRates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i17932/ias$/P_Speidel/10_IAS_Anlage2mW/Versuche-Versionen/IAS_Bilanz_Version_LM-28-0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Company/CFO/Forecast/Forecast/WIP/Wip_drafting/S073M04A/S073m02A_loa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EXCEL/FRP/BUDGE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pl7/Accounting/Shared%20Services/Budget%20&amp;%20Analysis/2001%20Estime/Value%20Added%20Def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ompany/CFO/Forecast/Forecast/Audit_W.I.P/O031D04A/WIP/WIP-drafted/S073/S073m02A_loa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Documents%20and%20Settings/h6312908/Local%20Settings/Temporary%20Internet%20Files/OLK92/Headcount%20Budget%20R25A%20R25B%20(version%20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Documents%20and%20Settings/yuecha/Local%20Settings/Temp/Documentum/Viewed/11599877692132173/Copy_of_09060U265_e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Documents%20and%20Settings/leungwi/Desktop/Copy%20of%2010060V783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ebecca-770157/Water/Documents%20and%20Settings/test/Desktop/SL/03/lixizhichu.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DOCUME~1/lau/LOCALS~1/Temp/DOCUME~1/CHUSAK/LOCALS~1/Temp/Commerical%20KPIs%2005p02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nsh001/Finance/DOCUME~1/SUPPAC~1/LOCALS~1/Temp/Commerical%20KPIs%2005p02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DOCUME~1/ADMINI~1/LOCALS~1/Temp/Rar$DI34.6037/&#38182;&#27743;&#22806;&#20107;2003.11.30&#24213;&#3129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Documents%20and%20Settings/jenny/Local%20Settings/Temporary%20Internet%20Files/OLK10D/1CapEx-draf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Users/Jack/Desktop/7.&#24503;&#27966;&#20811;&amp;&#24247;&#26222;&#32500;/&#24247;&#26222;&#32500;KPW/DynamicDataCollectionForm20121112-02-KPW.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2004~2007%20My%20Client%20Working%20Papers/MC%202007/OC/OwensCorning2006/working%20paper/Toptrial-OC%20consol-20061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Users/l5106412/Documents/FSSC%20Shanghai/03%20-%20Common%20Files/22.%20Binder/Closing%20Binder/Team%20Binders_20110930/BS%20Reconciliation_SGASH_2011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Documents%20and%20Settings/Wei%20Liu/My%20Documents/My%20Working%20Paper/wah%20sang%20gas/Wah%20Sang-Zhejiang-tong%20lu-zhenwei.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Q:/03-MAGNITUDE/cas%20LDE%20N3.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DOCUME~1/J9371279/LOCALS~1/Temp/DropOL/15682/wenny%20ji/monthy%20salary%20form/From%20David/Payroll/payroll%20Voucher/payroll%20voucher2009.1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G:/Hierarchie/CGI/DAFI/Phases%20pluriannuelles/_Packages%20Skover/Package%20ESP/BABM%20IFRS%20ESP0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DOCUME~1/h2867630/LOCALS~1/Temp/ASZ%20BS%20Reconciliation%20Aug-2009.zip%20&#30340;&#20020;&#26102;&#30446;&#24405;%201/TEMP/Flash_2001%20March%20Bonded.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O:/GROUP/YR-ADV/_WOODS/MONTHLY/JUL/YRBN_JUL.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11.&#36130;&#21153;&#20998;&#26512;&#25253;&#34920;/7&#26376;&#20998;&#26512;&#25253;&#34920;/2007Gledger/Audit%20report/DTT%20Adjust/Income%20tax-BridgeConso-V08043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Users/Mengmeng%20Jia/Documents/Work/&#32858;&#32654;2015Q3/PBC/TT/TT%202015%20Q3%20-%201119v1.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Users/Sylvia%20ZJ%20Sun/Desktop/&#20113;&#38598;/&#25340;&#22810;&#22810;&amp;JD&amp;UXIN/Uxin%20TT%20package/Uxin%20TT%20package/1%20TT-Uxin%20Disclosure%202017_4.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D:/DOCUME~1/ADMINI~1/LOCALS~1/Temp/Rar$DI34.6037/Documents%20and%20Settings/jujumao/&#26700;&#38754;/&#23457;&#35745;/&#22478;&#24066;&#23398;&#38498;/&#22478;&#24066;&#23398;&#38498;&#25945;&#32946;&#26412;&#37096;04&#24180;&#23457;&#65288;&#21556;&#65289;/&#24213;&#31295;/&#38144;&#21806;&#25910;&#20837;&#12289;&#25104;&#26412;&#12289;&#36153;&#29992;&#12289;&#31246;&#37329;&#20998;&#26512;&#34920;excel&#34920;&#2668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Documents%20and%20Settings/xiaoshou/Local%20Settings/Temporary%20Internet%20Files/Content.IE5/C927GTE3/&#19978;&#24066;&#30408;&#21033;&#39044;&#27979;/JP&#27169;&#22411;/Greentown_model&#32838;&#35759;&#21518;.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19978;&#24066;&#30408;&#21033;&#39044;&#27979;/JP&#27169;&#22411;/Greentown_model&#32838;&#35759;&#21518;.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DOCUME~1/J9371279/LOCALS~1/Temp/DropOL/15682/Allinold-200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DOCUME~1/J9371279/LOCALS~1/Temp/DropOL/15682/AllinBV99.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DOCUME~1/J9371279/LOCALS~1/Temp/DropOL/15682/AllinBVold-1999.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DOCUME~1/J9371279/LOCALS~1/Temp/DropOL/15682/Ukey/Documents%20and%20Settings/Sunh/Local%20Settings/Temporary%20Internet%20Files/OLKA7/stawianyeur.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D:/DOCUME~1/J9371279/LOCALS~1/Temp/DropOL/15682/Ukey/Documents%20and%20Settings/Sunh/Local%20Settings/Temporary%20Internet%20Files/OLKA7/A1Allinter02-0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Finance%20reporting/Mar.05/BS+PL0503.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39044;&#31639;&#30456;&#20851;&#36164;&#26009;/&#19990;&#32426;&#22478;/&#21508;&#39033;&#30446;&#21033;&#28070;&#26680;&#23545;/&#22791;&#26597;/&#21508;&#39033;&#30446;&#21033;&#28070;&#26680;&#23545;/&#22791;&#26597;/Detail-4.28.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DOCUME~1/ADMINI~1/LOCALS~1/Temp/Rar$DI34.6037/&#23457;&#35745;&#27169;&#26495;/&#32593;&#30427;&#39044;&#26597;&#24213;&#31295;-&#27946;&#20840;&#20184;/&#24212;&#20184;&#24037;&#36164;%20&#31119;&#21033;&#36153;&#24213;&#31295;.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Finance%20reporting/2005/Dec.05/SGHSS_IFRS%20BS%202005.1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D:/Finance%20reporting/2006/Feb.06/SGHSS_IFRS%20BS%202006.0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Z:/Documents%20and%20Settings/770605/My%20Documents/Gongsuda/Wuhan/Documents%20and%20Settings/406268/Desktop/Documents%20and%20Settings/405216/Desktop/CT%20(China)%20Investment%209-01/WP%209-01%20KH%20v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PP/IE/&#44204;&#51201;/SGS/&#50896;&#44032;_9.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Users/Tracy%20Qi/AppData/Roaming/Microsoft/Excel/Documents%20and%20Settings/zhangke/&#26700;&#38754;/Daily%20CashPool%20Positioning.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DOCUME~1/J9371279/LOCALS~1/Temp/DropOL/15682/Ukey/qiaolu/GL/zhanghong/report/&#20854;&#20182;&#25253;&#34920;/&#20869;&#37096;&#25253;&#21578;/2004/mydocu/report/&#20854;&#20182;&#25253;&#34920;/&#20869;&#37096;&#25253;&#21578;/2000fs/BS0905.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DOCUME~1/CHUSAK/LOCALS~1/Temp/Commerical%20KPIs%2005p02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Users/Finance/AppData/Local/Microsoft/Windows/Temporary%20Internet%20Files/Content.Outlook/91R6BT3A/FT0048%20AUAC%2031-12-2008(&#20013;&#25991;)R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cici/Reconciliation/2008/May/Aging.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AP/MEMO/&#26032;&#24314;&#25991;&#20214;&#22841;/ACCRUAL-&#25512;&#24191;&#20419;&#3814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SSGFP/tabfi$/PLANNEW/DOCUMENT/DCEUROPE.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Shads03/group/Documents%20and%20Settings/Bao-yuzhou/My%20Documents/CHART/BUDGET2003/FIN_SGSSh03cc.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K:/Brandon/Reporting/Skover2005/CHN_Technical_05.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D:/Documents%20and%20Settings/770951/Desktop/From%20Baiyu/Air%20China/N%20section/WINNT/Temp/audit/2000&#24180;&#19994;&#21153;&#35268;&#33539;/&#25552;&#20379;&#20989;/&#25991;&#26412;&#25552;&#20379;&#20989;/&#19978;&#24066;&#20844;&#21496;/EXCEL/&#23457;&#26680;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D8h46r1x/public%20folder%20for%20hr/Documents%20and%20Settings/chenabby/Local%20Settings/Temporary%20Internet%20Files/OLK6/Employee%20Information%20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T:/acemodels/excel/2382.TW.A.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K:/Brandon/Budget/2007/2007%20RF2/FA%20budget%20Tracking.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Users/Administrator/AppData/Roaming/kingsoft/office6/backup/2018-2020&#20998;&#26512;&#34920;-&#26032;&#27169;&#26495;.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Documents%20and%20Settings/gabi_hayek/Local%20Settings/Temporary%20Internet%20Files/OLK2/Versand%20Ausland/Argentina/Part%202_Personnel_Argentina_nonEU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Documents%20and%20Settings/xuxu/&#26700;&#38754;/&#25552;&#20379;&#23457;&#35745;&#36164;&#26009;2008-01-12/SA-&#20027;&#33829;&#19994;&#21153;&#25910;&#20837;.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ssfs001/Finace/1999/Report/mis/9904/DATABASE.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G:/WINDOWS/TEMP/Air%20China/2003%20final%20audit/Working%20paper/Ben/P/&#39184;&#39135;&#36134;&#40836;&#20998;&#26512;2.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D:/&#25104;&#26412;&#39044;&#31639;/&#20854;&#20182;&#36153;&#29992;&#28165;&#21333;(&#22303;&#24314;)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D:/Users/Tracy%20Qi/AppData/Roaming/Microsoft/Excel/Documents%20and%20Settings/Juicy%20Zhu/Desktop/Festo/voch/&#36710;&#29260;-Target%20Testing%20.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Addcshg01/hr_hiring/Handover/Mthly%20Report/200505/Copy%20of%20RecruitmentReport%20050531.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K:/Brandon/Budget/2007/2007%20RF2/Sales_B07.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H:/Documents%20and%20Settings/chenjun.FINANCIAL/&#26700;&#38754;/&#20808;&#38155;&#25253;&#34920;/2002/&#20122;&#36816;&#19968;&#26399;/&#24453;&#25674;&#36153;&#29992;&#31561;&#23457;&#23450;&#3492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Documents%20and%20Settings/f9574303/My%20Documents/AR%20team/AR%20Balance%20analysis/Delegation%20&amp;%20RND%20&amp;%20AC%20Monthly%20Ageing%20Analysis-APR.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D:/&#36719;&#20214;/office&#21450;&#30456;&#20851;/&#26680;&#23545;&#24448;&#26469;&#20132;&#26131;_(tynxg).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D:/Entertainment/Meituan/Meituan%20wip.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D:/cici/Reconciliation/2009/Dec/Documents%20and%20Settings/amy.qiao/My%20Documents/&#25991;&#20214;/report/report/Structure%20SGSI%20(5).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D:/Users/yingw2/Desktop/Q2PBC/TT%202014Q1.xlsx"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Users/Winnie%20D%20Tan/Desktop/&#32858;&#32654;/TT/TT%202014Q4.xlsx"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Users/Winnie%20D%20Tan/Desktop/Q1/TT%20&amp;FAR/TT%202015%20Q1%20to%20PWC@0518v2.xlsx"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D:/Users/Winnie%20D%20Tan/Desktop/FAR%202/TT%202015%20Q2%20to%20PWC@20150813v1.xlsx"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D:/Project%20Perfume/TT2016/TT%2020160531.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D:/Users/Cara%20Fang/Desktop/carabit/archived/&#32858;&#32654;/TT%202015%20Q3%20-%201113v3.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50672;&#44208;/Package/20001102_&#50672;&#44208;Excel%20PKG%20TO-BE(&#51221;&#50864;&#51068;D)1.2.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D:/Users/Tracy%20Qi/AppData/Roaming/Microsoft/Excel/DOCUME~1/GRACEL~1/LOCALS~1/temp/notesEA312D/~8369337.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S:/DOCUME~1/FBERTH~1/LOCALS~1/Temp/notesC9812B/5%20PP&amp;E%20LCE%20-%20Test%20additions%20(w%20TOD%20template)2.xlsm"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D:/&#31435;&#20449;&#38271;&#27743;/&#26032;&#19990;&#32426;&#26399;&#36135;/&#26032;&#19990;&#32426;2005/2005&#24180;&#26032;&#19990;&#32426;&#22825;&#26399;&#23457;&#23450;&#25253;&#34920;&#21450;&#38468;&#27880;/Documents%20and%20Settings/Owner/&#26700;&#38754;/&#27946;&#20840;&#20184;/&#32593;&#30427;&#39044;&#26597;&#24213;&#31295;-&#27946;&#20840;&#20184;/&#24212;&#20184;&#24037;&#36164;%20&#31119;&#21033;&#36153;&#24213;&#31295;.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Muc-file-1/Services/Holding/Team/Teamwork/CONTROLLING/SECRET/ERGEBNISSE-2002/Non-German/P&amp;L/Brazil/Schriftverkehr/05_May/Pipeline%20Jun02%20BRA.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Bue-file-1/public/Tools/Project%20Info/Abiertos/Acquisitions/AGF%20Allianz%20South%20America.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Muc-file-1/Services/Holding/Team/Teamwork/CONTROLLING/SECRET/ERGEBNISSE-2002/Non-German/P&amp;L/Argentina/Schriftverkehr/05_May/Pipeline%2006-2002%20ARG.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D:/&#24037;&#20316;&#24213;&#31295;/&#19990;&#36827;&#38400;&#38376;/&#19990;&#36827;2007&#24180;1-9&#26376;/&#19990;&#36827;2007.9&#24213;&#31295;&#27719;&#24635;/&#24213;&#31295;&#27946;07.4/&#25910;&#20837;&#24213;&#31295;07.4.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D:/2005&#24180;&#25253;/&#32593;&#30427;/&#24213;&#31295;.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D:/2007%20Budget/Salary/2007%20HR%20Salary%20Budget%200914A.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D:/Users/yuanyuan.li/Desktop/&#19996;&#26041;&#22522;&#22240;&#24037;&#20316;&#36164;&#26009;/4-&#39044;&#31639;/NTS01/jhc/CHR/ARBEJDE/Q4DK.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D:/&#31435;&#20449;&#38271;&#27743;/&#26032;&#19990;&#32426;&#26399;&#36135;/&#26032;&#19990;&#32426;2005/2005&#24180;&#26032;&#19990;&#32426;&#22825;&#26399;&#23457;&#23450;&#25253;&#34920;&#21450;&#38468;&#27880;/My%20Documents/2000&#24180;&#24180;&#25253;/2000&#24180;&#24180;&#25253;&#38468;&#27880;&#26684;&#24335;&#30424;.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D:/DOCUME~1/J9371279/LOCALS~1/Temp/DropOL/15682/Ukey/LOANS/ALLINTER.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D:/DOCUME~1/J9371279/LOCALS~1/Temp/DropOL/15682/USER/SHEET/ALLINTER.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D:/DOCUME~1/J9371279/LOCALS~1/Temp/DropOL/15682/ALLINOLD.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T:/Daily%20Dealing%20and%20Loans/AllinGrpFin.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D:/cici/Reconciliation/2009/Dec/budget/Documents%20and%20Settings/KSCHANG/Local%20Settings/Temporary%20Internet%20Files/Content.IE5/6YZNOTQD/B2004%20Material%20Costs(HSS).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D:/Users/yuanyuan.li/Desktop/&#19996;&#26041;&#22522;&#22240;&#24037;&#20316;&#36164;&#26009;/4-&#39044;&#31639;/NTS01/jhc/unzipped/Eastern%20Airline%20FE/GP/tamer/WINDOWS/GP_AT.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T:/Daily%20Dealing%20and%20Loans/A1Allinter05-06.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Brandon/Budget/2007%20Budget/CHN%20Mod&#232;le%20Analyse.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D:/DOCUME~1/J9371279/LOCALS~1/Temp/DropOL/15682/Ukey/LOANS/ALLINOLD.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K:/Documents%20and%20Settings/QZGES004/Local%20Settings/Temporary%20Internet%20Files/OLK99/ESP%2011.2005%2050%20PG.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K:/Brandon/Budget/2006%20RF/RF2/Input%20RF02%20CHN.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K:/Brandon/Budget/2008/2008-monthly/Monthly%20Budget-08-JV.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Shads03/group/Temparory%20Internet%20Files/Temporary%20Internet%20Files/OLK31BC/E2005%20Gprofit%20(wp).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D:/Documents%20and%20Settings/h2867630/Local%20Settings/Temporary%20Internet%20Files/OLK2C/Aging_2008SGHSS.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K:/Zhaoqiqi/qiqi/Reports/aSummary%20Monthly%20Reports/Year%202007/Aug/aSummary%20monthly%20report-200708special%20value2.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D:/&#39044;&#31639;&#30456;&#20851;&#36164;&#26009;/&#19990;&#32426;&#22478;/&#21508;&#39033;&#30446;&#21033;&#28070;&#26680;&#23545;/&#22791;&#26597;/&#21508;&#39033;&#30446;&#21033;&#28070;&#26680;&#23545;/&#22791;&#26597;/Greentown%20Model-0403.xlsx"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D:/FINANCE/Actuals/2003/01-Apr/Regional/SixPack12021.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D:/Users/MBARON~1/AppData/Local/Temp/notesF3B52A/SL%20-%20Determine%20audit%20strategy%20and%20plan%20-%2011062014.xlsm"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D:/Users/helen%20j%20deng/AppData/Local/Aura/6.0/Files/43/AF/51ad4182-cf81-4bbd-8616-252a30a807b3000000000000000001067143/51ad4182-cf81-4bbd-8616-252a30a807b3.xlsm"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D:/Users/Shelley%20X%20Liu/AppData/Local/Aura/6.0/Files/23/AF/0c0c2705-1dd4-4811-9ad9-780f8b94b4fc000000000000000006164036/0c0c2705-1dd4-4811-9ad9-780f8b94b4fc.xlsm"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Users/Jessica%20TJ%20Peng/Documents/Jessica/Work/SA1/XiaoDian/002-deliverable/Reporting%20Package/WP-20201231/&#22266;&#23450;&#36164;&#20135;-20201231.xlsm"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H:/WIN97/TEMP/My%20Documents/&#20869;&#37096;&#25237;&#36164;.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D:/Users/Edwin%20Feng/Desktop/&#24658;&#37995;2015/EGA/Commitment/&#24037;&#31243;&#27454;&#25130;&#27490;&#24615;&#27979;&#35797;.XLSM"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D8h46r1x/public%20folder%20for%20hr/Link%20General/Initial%20Data%20Sheet/Generic%20IT0008%20Basic%20Pay%20V1.0.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D:/Disque%20D/Budget_2005/Inv_received/Invests_B2005.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D:/DOCUME~1/ADMINI~1/LOCALS~1/Temp/Rar$DI63.1859/&#25910;&#20837;&#24213;&#3129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D:/Kat's%20Audit%2001/Sino%20Sterling%2001/SinoSterling%20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D:/DOCUME~1/J9371279/LOCALS~1/Temp/DropOL/15682/Ukey/qiaolu/GL/zhanghong/report/&#20854;&#20182;&#25253;&#34920;/&#20869;&#37096;&#25253;&#21578;/2004/mydocu/report/&#20854;&#20182;&#25253;&#34920;/&#20869;&#37096;&#25253;&#21578;/2000fs/P_L0905.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D:/DOCUME~1/J9371279/LOCALS~1/Temp/DropOL/15682/Ukey/qiaolu/GL/zhanghong/report/&#20854;&#20182;&#25253;&#34920;/&#20869;&#37096;&#25253;&#21578;/2004/P_L2001.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D:/DOCUME~1/J9371279/LOCALS~1/Temp/DropOL/15682/Allinter.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D:/DOCUME~1/J9371279/LOCALS~1/Temp/DropOL/15682/Allinold-1999.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K:/Brandon/Reporting/2006/CHN%20Input%20RM%2006%20(V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D:/DOCUME~1/SZILVI~1/LOCALS~1/Temp/Versand%20Ausland/Argentina/Part%202_Personnel_Argentina_nonEUR.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D:/PLANNEW/FINB2006/FIN_SGSF.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D:/Documents%20and%20Settings/jfuhrmeister/Local%20Settings/Temporary%20Internet%20Files/OLK4F/sssmfgbud08.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D:/cici/Reconciliation/2009/Dec/budget/mwpark_China/Budget/2004_HSS/Materials/B2004%20Material%20Costs(HS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D:/Documents%20and%20Settings/renee/Local%20Settings/Temporary%20Internet%20Files/Content.IE5/8XABCP23/Documents%20and%20Settings/mary/Desktop/VarByRgn0012.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D:/&#24213;&#31295;cyf/&#24212;&#20184;&#36134;&#27454;&#26367;&#20195;.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D:/Documents%20and%20Settings/405414/Desktop/Edelman%202002/Edelman%20HK/Edelman%20PRW%20(HK)%20Ltd.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D:/Documents%20and%20Settings/Owner/&#26700;&#38754;/&#27946;&#20840;&#20184;/&#32593;&#30427;&#39044;&#26597;&#24213;&#31295;-&#27946;&#20840;&#20184;/&#24212;&#20184;&#24037;&#36164;%20&#31119;&#21033;&#36153;&#24213;&#31295;.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D:/data/U388725/Projects/Project%20Westlake/IPO/presentation%20to%20RE%20team.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D:/WINDOWS/TEMP/GOLDPYR4/ARENTO/TOOLBOX.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D:/Documents%20and%20Settings/l5106412/Local%20Settings/Temporary%20Internet%20Files/OLK1F/DOCUME~1/c3891010/LOCALS~1/Temp/DropOL/Job/SGHSS/Report/SGHSS%20Toptrial%202010_1231.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Ruan-regna/Regna/DOCUME~1/SIWEI~1/LOCALS~1/Temp/SaintGobain/02Mar26.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D:/qq&#25991;&#20214;&#19979;&#36733;/POWER%20ASSUMPTION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D:/SEGC/Ingersoll-Rand/June%2004/&#31616;&#26131;&#23458;&#32534;&#34920;-&#36164;&#20135;.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K:/Documents%20and%20Settings/BNass/Local%20Settings/Temporary%20Internet%20Files/OLK38/ESP%2001.2006.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D:/DOCUME~1/J9371279/LOCALS~1/Temp/DropOL/15682/wenny%20ji/monthy%20salary%20form/From%20David/Payroll/payroll%20Voucher/payroll%20voucher2009.0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D:/Documents%20and%20Settings/jeremy.ZK/Local%20Settings/Temporary%20Internet%20Files/OLK4C/Headcount%20Budget%20R25A%20R25B%20(version%201).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D:/cici/Reconciliation/2009/Dec/budget/Documents%20and%20Settings/KSC/My%20Documents/00%20P2005/56.%20finfile/FIN_HSS%2020050331.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D:/Users/zk0hqca/AppData/Local/Microsoft/Windows/Temporary%20Internet%20Files/Content.Outlook/H0AK0FPT/Consol%20Report%20FY13-15_12032016.xlsx"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D:/Documents%20and%20Settings/l5106412/Local%20Settings/Temporary%20Internet%20Files/OLK1F/&#25105;&#30340;&#25991;&#26723;/&#26700;&#38754;/3.16/DTA%20SGASZ%20201102.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D:/Users/yuanyuan.li/Desktop/&#19996;&#26041;&#22522;&#22240;&#24037;&#20316;&#36164;&#26009;/4-&#39044;&#31639;/NTS01/jhc/unzipped/Eastern%20Airline%20FE/GP/tamer/DOS/TEMP/GPTLBX90.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X:/hej/IMS/s_inco99-1.ADJ.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Shads03/group/DOCUME~1/WINDOW~1/LOCALS~1/Temp/PRODUCT%20DEPT.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D:/my%20documents(updated)/Service%20Center%20Business/BOM/WHSC/WSC&#26448;&#26009;&#28165;&#21333;1114.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D:/Report/TGP/2006/29020601v3.0a.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D:/&#24037;&#20316;&#36164;&#26009;/201010&#25253;&#34920;/10&#26376;&#20221;&#21512;&#21516;&#21488;&#36134;/10&#26376;&#20221;&#29616;&#36135;&#21830;&#21697;&#20132;&#26131;&#21512;&#21516;&#21488;&#36134;&#21326;&#19996;&#22806;&#3615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D:/&#24503;&#21220;&#23457;&#35745;2004/&#24213;&#31295;050217/Accrued%20Expenses.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D:/&#24503;&#21220;&#23457;&#35745;2004/&#24213;&#31295;/5340%20Account%20receivablejennycheck.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D:/&#24503;&#21220;&#23457;&#35745;2004/&#24213;&#31295;/focus%208000-harry/8350%20%20G&amp;A%20Expense%20Breakdown.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july_wang/c/Documents%20and%20Settings/WLM/My%20Documents/Focus%20Media/Financial%20Reportings/2005%20Quarters/Q1%202005/Conso%20TB/Conso%20TB%20Q105%20May%2024%20PM%20CS%20$61.46.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Account_c017/c/My%20Documents/PSN_CE.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D:/DOCUME~1/ADMINI~1/LOCALS~1/Temp/Rar$DI34.6037/DOCUME~1/Owner/LOCALS~1/Temp/Rar$DI00.438/1-3&#26376;&#23548;&#24080;/1.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D:/New%20Century%20&#31649;&#29702;&#20844;&#21496;TT%20&#19977;&#24180;&#19968;&#26399;/TT%20%20H9%20&#37329;&#26124;&#37202;&#24215;%202017630%20&#19977;&#24180;&#29256;.xlsx"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D:/Users/Sylvia%20ZJ%20Sun/Desktop/&#20113;&#38598;/&#25340;&#22810;&#22810;&amp;JD&amp;UXIN/Uxin%20TT%20package/Uxin%20TT%20package/Sample%202.xlsx"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D:/Users/Jack/Desktop/7.&#24503;&#27966;&#20811;&amp;&#24247;&#26222;&#32500;/&#24247;&#26222;&#32500;KPW/1.DPC-AR&#21450;PR&#26399;&#21021;&#25968;&#25454;&#25910;&#38598;.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D:/A%20Jobs%202011/12.%20XAMK/WP%20YMTZ%20MDX%202011%20Final.xlsx"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D:/users/yuanyuan.li/desktop/&#19996;&#26041;&#22522;&#22240;&#24037;&#20316;&#36164;&#26009;/4-&#39044;&#31639;/0-&#39044;&#31639;&#27169;&#26495;&#35774;&#32622;/&#36153;&#29992;&#39044;&#31639;.xlsx"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D:/Uxin/B2C%20&#26694;&#26550;&#26032;&#29256;/B2C%20&#19994;&#21153;&amp;&#36130;&#21153;&amp;&#35843;&#25972;&#27719;&#24635;%20V6.xlsx"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D:/&#24037;&#20316;&#36164;&#26009;/201010&#25253;&#34920;/10&#26376;&#20221;&#21512;&#21516;&#21488;&#36134;/&#29616;&#36135;&#20132;&#26131;&#21488;&#36134;/9&#26376;&#20221;&#29616;&#36135;&#21830;&#21697;&#20132;&#26131;&#21512;&#21516;&#21488;&#36134;&#65288;&#21326;&#21335;&#22806;&#36152;&#65289;.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D:/Users/Laura%20C%20Chen/Documents/A-CUSTOM/&#36808;&#31185;/2012&#36808;&#31185;/WP-2012.xlsx"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D:/05&#24180;&#25253;/&#24191;&#23431;/&#32903;&#24198;/&#32903;&#24198;/WINDOWS/TEMP/My%20Documents/1999&#24180;&#25253;/&#20013;&#21326;&#20225;&#19994;/&#20013;&#20225;&#26412;&#37096;/&#22266;&#23450;&#36164;&#20135;/&#22266;&#23450;&#36164;&#20135;.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A:/&#31435;&#20449;&#38271;&#27743;/My%20Documents/1999&#24180;&#25253;/&#20013;&#21326;&#20225;&#19994;/&#20013;&#20225;&#26412;&#37096;/&#22266;&#23450;&#36164;&#20135;/&#22266;&#23450;&#36164;&#20135;.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D:/DOCUME~1/ADMINI~1/LOCALS~1/Temp/Rar$DI34.6037/2003&#24180;&#25253;/&#20255;&#26126;&#29615;&#20445;/&#28201;&#24030;&#20255;&#26126;/&#20255;&#26126;-11.29&#35797;&#31639;/&#20020;&#27743;/My%20Documents/2000&#24180;&#24180;&#25253;/2000&#24180;&#24180;&#25253;&#38468;&#27880;&#26684;&#24335;&#30424;.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D:/&#24037;&#20316;/&#24037;&#20316;&#24213;&#31295;/&#24191;&#23431;/05&#24180;&#25253;/&#24191;&#23431;/2005&#24180;&#25253;/&#24191;&#23431;&#38598;&#22242;/&#32461;&#20852;&#39640;&#23572;&#22827;/2005&#24180;&#25253;/&#35832;&#26280;&#27704;&#24378;/Documents%20and%20Settings/helen/&#26700;&#38754;/&#23457;&#35745;&#21333;&#20301;/&#25253;&#21916;&#40479;/&#25253;&#21916;&#40479;2003/y/Y&#24213;&#31295;.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D:/Documents%20and%20Settings/ADuser/Local%20Settings/Temp/_AZTMP19_/06%20A3%20SGHQ%20Group%20Reporting%20Package.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D:/Documents%20and%20Settings/bq.chen/Local%20Settings/Temporary%20Internet%20Files/Content.IE5/V6N0SHHY/0511&#24212;&#20184;&#31185;&#30446;-&#27169;&#26495;-A03%20(1).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D:/Documents%20and%20Settings/l5106412/Local%20Settings/Temporary%20Internet%20Files/OLK1F/Documents%20and%20Settings/win1/Local%20Settings/Temporary%20Internet%20Files/Content.IE5/P6FFBXC9/2003&#24180;2&#26376;&#36827;&#38144;&#23384;&#26680;&#31639;&#30456;&#20851;&#36164;&#26009;.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D:/&#19978;&#28023;&#31435;&#20449;&#38271;&#27743;&#20107;&#21153;&#25152;2004&#24180;&#25253;/&#26032;&#26480;&#20811;/&#26032;&#26480;&#20811;2004/&#25910;&#20837;&#12289;&#25104;&#26412;&#20998;&#2651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urrMo'lyRates2002"/>
      <sheetName val="Intercompany Detail"/>
      <sheetName val="input"/>
      <sheetName val="Quality Defects计算方法"/>
      <sheetName val="Food delivery"/>
      <sheetName val="In-store, hotel &amp; travel"/>
      <sheetName val="New initiatives"/>
      <sheetName val="BS+PL2005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4"/>
      <sheetName val="4-alt"/>
      <sheetName val="5"/>
      <sheetName val="Test"/>
      <sheetName val="I-1.1"/>
      <sheetName val="I-1.X"/>
      <sheetName val="I-2"/>
      <sheetName val="I-Passiv1"/>
      <sheetName val="I-Passiv2"/>
      <sheetName val="I-Passiv3"/>
      <sheetName val="1.3"/>
      <sheetName val="1.4"/>
      <sheetName val="1.5"/>
      <sheetName val="1.6"/>
      <sheetName val="I-3.1"/>
      <sheetName val="3.2"/>
      <sheetName val="3.3.1"/>
      <sheetName val="3.3.2"/>
      <sheetName val="3.4"/>
      <sheetName val="3.5"/>
      <sheetName val="3.6"/>
      <sheetName val="3.7"/>
      <sheetName val="3.8"/>
      <sheetName val="3.9"/>
      <sheetName val="3.10"/>
      <sheetName val="3.11"/>
      <sheetName val="3.12"/>
      <sheetName val="3.13"/>
      <sheetName val="3.14"/>
      <sheetName val="3690.HK_Exchange_Sheet"/>
      <sheetName val="3690.HK_Live_Sheet"/>
      <sheetName val="3690.HK_Validation_Sheet"/>
      <sheetName val="cov"/>
      <sheetName val="A3 &amp; U 09-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Mortgaged Loan"/>
      <sheetName val="WHBank"/>
      <sheetName val="S073m02A_loan"/>
      <sheetName val="#REF"/>
      <sheetName val="Status"/>
      <sheetName val="I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A"/>
      <sheetName val="LIST"/>
      <sheetName val="QPL"/>
      <sheetName val="BAC1"/>
      <sheetName val="BAC2"/>
      <sheetName val="QRAF1"/>
      <sheetName val="QRAF2"/>
      <sheetName val="QMULTI1"/>
      <sheetName val="QMULTI2"/>
      <sheetName val="TAX"/>
      <sheetName val="DIV"/>
      <sheetName val="BO MEDIA"/>
      <sheetName val="BO PRODUCTION"/>
      <sheetName val="TOTAL DM"/>
      <sheetName val="BO ART"/>
      <sheetName val="WRITE OFF Q2RF VS Q1RF 99"/>
      <sheetName val="BO NON-ART"/>
      <sheetName val="Budget 2001 vs Q2RF2000"/>
      <sheetName val="Budget 2001 vs Q3Preli_2000"/>
      <sheetName val="Q3 vs Q2 2000"/>
      <sheetName val="DM Exp summary"/>
      <sheetName val="DM Exp detail"/>
      <sheetName val="EB &amp; Revenue"/>
      <sheetName val="Consultants"/>
      <sheetName val="Car Rentals"/>
      <sheetName val="Flat Rentals"/>
      <sheetName val="Renovation Budget 2001"/>
      <sheetName val="BO_Renovation Budget 2001 (R)"/>
      <sheetName val="KO_Renovation Budget 2001 (R) "/>
      <sheetName val="MO_Renovation Budget 2001 (R)"/>
      <sheetName val="EB AND REVENUE"/>
      <sheetName val="MODULE1"/>
      <sheetName val="ms022001"/>
      <sheetName val="jwt022001"/>
      <sheetName val="ms buying"/>
      <sheetName val="jwt-ms"/>
      <sheetName val="tc022001"/>
      <sheetName val="agency022001"/>
      <sheetName val="科目余额表"/>
      <sheetName val="存货汇总表10"/>
      <sheetName val="Act"/>
      <sheetName val="Sheet4"/>
      <sheetName val="XREF"/>
      <sheetName val="Food delivery"/>
      <sheetName val="In-store, hotel &amp; travel"/>
      <sheetName val="New initiatives"/>
      <sheetName val="Summary"/>
      <sheetName val="C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Definitions"/>
      <sheetName val="Sheet1 (2)"/>
      <sheetName val="Intercompany Detail"/>
      <sheetName val="3690.HK_Exchange_Sheet"/>
      <sheetName val="3690.HK_Live_Sheet"/>
      <sheetName val="3690.HK_Validation_Sheet"/>
      <sheetName val="ContractList"/>
      <sheetName val="Data"/>
      <sheetName val="No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Mortgaged Loan"/>
      <sheetName val="WHBank"/>
      <sheetName val="S073m02A_loan"/>
      <sheetName val="#REF"/>
      <sheetName val="Sheet2"/>
      <sheetName val="F4PLCGBP"/>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Salary Jul 06"/>
      <sheetName val="R25A"/>
      <sheetName val="VOH"/>
      <sheetName val="FOH"/>
      <sheetName val="R51"/>
      <sheetName val="R52"/>
      <sheetName val="SUM by cost center"/>
      <sheetName val="SUM By DL"/>
      <sheetName val="Budget driver"/>
      <sheetName val="2007 key"/>
      <sheetName val="Data"/>
      <sheetName val="General"/>
      <sheetName val="HR Cost By SBU"/>
      <sheetName val="Headcount Budget 2007"/>
      <sheetName val="DL Headcount Budget 2007"/>
      <sheetName val="Sheet1"/>
      <sheetName val="HR Cost for FI"/>
      <sheetName val="Sheet1 (2)"/>
      <sheetName val="T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中国宏观经济强劲"/>
      <sheetName val="高增长高利润的经营业绩 (2)"/>
      <sheetName val="收入基础多元化"/>
      <sheetName val="2006年宏观调控对绿城的影响"/>
      <sheetName val="new1"/>
      <sheetName val="Revenue"/>
      <sheetName val="Excellent"/>
      <sheetName val="breakdown"/>
      <sheetName val="GFA"/>
      <sheetName val="Site"/>
      <sheetName val="主要房地产市场发展趋势—北京"/>
      <sheetName val="主要房地产市场发展趋势—上海"/>
      <sheetName val="主要房地产市场发展趋势—浙江"/>
      <sheetName val="主要房地产市场发展趋势—杭州"/>
      <sheetName val="高增长高利润的经营业绩"/>
      <sheetName val="多元化高质量的土地储备"/>
      <sheetName val="05年预售率"/>
      <sheetName val="average price"/>
      <sheetName val="Sheet1"/>
      <sheetName val="Sheet3"/>
      <sheetName val="Sheet2"/>
      <sheetName val="Sheet4"/>
      <sheetName val="Contract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balance sheet"/>
      <sheetName val="resource"/>
      <sheetName val="Geographical breakdown"/>
      <sheetName val="PRC"/>
      <sheetName val="DD &amp; SS"/>
      <sheetName val="price vs GDP"/>
      <sheetName val="house price growth"/>
      <sheetName val="Disposable income"/>
      <sheetName val="hangzhou2"/>
      <sheetName val="hangzhou"/>
      <sheetName val="guangdong "/>
      <sheetName val="Anhui"/>
      <sheetName val="Hunan"/>
      <sheetName val="Jiangsu"/>
      <sheetName val="Shandong"/>
      <sheetName val="GDP"/>
      <sheetName val="1998"/>
      <sheetName val="1999"/>
      <sheetName val="2000"/>
      <sheetName val="2001"/>
      <sheetName val="2002"/>
      <sheetName val="2003"/>
      <sheetName val="2004"/>
      <sheetName val="Sheet1 (3)"/>
      <sheetName val="Sheet2"/>
      <sheetName val="company operations"/>
      <sheetName val="Sheet1"/>
      <sheetName val="Revenue"/>
      <sheetName val="graph"/>
      <sheetName val="data"/>
      <sheetName val="LIST"/>
      <sheetName val="DI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µ±Ç°Ã÷Ï¸ÕË"/>
      <sheetName val="cklx"/>
      <sheetName val="txx"/>
      <sheetName val="zjzy"/>
      <sheetName val="dklx"/>
      <sheetName val="#REF"/>
      <sheetName val="drop_down"/>
      <sheetName val="Ex Dif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Notes"/>
      <sheetName val="Changes"/>
      <sheetName val="GraphsNewFormat"/>
      <sheetName val="Graphs"/>
      <sheetName val="Data"/>
      <sheetName val="New Product Structure"/>
      <sheetName val="ProductStructure"/>
      <sheetName val="Definitions"/>
      <sheetName val="B_S"/>
      <sheetName val="Sheet3"/>
      <sheetName val="dkl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Notes"/>
      <sheetName val="Changes"/>
      <sheetName val="GraphsNewFormat"/>
      <sheetName val="Graphs"/>
      <sheetName val="Data"/>
      <sheetName val="New Product Structure"/>
      <sheetName val="ProductStructure"/>
      <sheetName val="Definitions"/>
      <sheetName val="06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锦江外事与锦江汽车本部调拨核对"/>
      <sheetName val="固定资产表"/>
      <sheetName val="固定资产增减变动"/>
      <sheetName val="复核本期新增的固定资产"/>
      <sheetName val="固定资产&amp;累计折旧"/>
      <sheetName val="明细分类账"/>
      <sheetName val="Food delivery"/>
      <sheetName val="In-store, hotel &amp; travel"/>
      <sheetName val="New initiatives"/>
      <sheetName val="Criteria"/>
      <sheetName val="BS+PL2007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Y+1 FA"/>
      <sheetName val="Y+1 Depre."/>
      <sheetName val="Y+1 FA SBU%"/>
      <sheetName val="Y+1 CapEx"/>
      <sheetName val="2007 key"/>
      <sheetName val="para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CUSTOMER BALANCE"/>
      <sheetName val="TRIAL BALANCE (LOCAL GAAP) "/>
      <sheetName val="TB差异V1"/>
      <sheetName val="TB差异V2"/>
      <sheetName val="TRIAL BALANCE (US GAAP)"/>
      <sheetName val="SUPPLIER ACCOUNT BALANCE"/>
      <sheetName val="SUPPLIER &amp; EMPLOYEE PREPAYMENT"/>
      <sheetName val="SUPPLIER NOTE PAYABLE BALANCE"/>
      <sheetName val="FA ASSET DETAIL"/>
      <sheetName val="FA OPERATIONAL CATEGORY"/>
      <sheetName val="Natural Account"/>
      <sheetName val="CCC_List"/>
      <sheetName val="REFERENCE"/>
      <sheetName val="coa"/>
      <sheetName val="C4-"/>
      <sheetName val="Coll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Toptrial-consol"/>
      <sheetName val="Going concern"/>
      <sheetName val="adj sum-SUD"/>
      <sheetName val="EJE adj"/>
      <sheetName val="Cashflow-consol"/>
      <sheetName val="adj sum-EJE"/>
      <sheetName val="Recon."/>
      <sheetName val="Investment disclosure"/>
      <sheetName val="Investment"/>
      <sheetName val="Pick-up &amp; Consol"/>
      <sheetName val="MI movement"/>
      <sheetName val="Dropdown list"/>
      <sheetName val="Report"/>
      <sheetName val="Analytical review"/>
      <sheetName val="Lead schedule"/>
      <sheetName val="PAR"/>
      <sheetName val="FAR"/>
      <sheetName val="SUD in LOR"/>
      <sheetName val="Going_concern"/>
      <sheetName val="adj_sum-SUD"/>
      <sheetName val="EJE_adj"/>
      <sheetName val="adj_sum-EJE"/>
      <sheetName val="Recon_"/>
      <sheetName val="Investment_disclosure"/>
      <sheetName val="Pick-up_&amp;_Consol"/>
      <sheetName val="MI_movement"/>
      <sheetName val="Dropdown_list"/>
      <sheetName val="Analytical_review"/>
      <sheetName val="Lead_schedule"/>
      <sheetName val="SUD_in_LOR"/>
      <sheetName val="A-General"/>
      <sheetName val="A"/>
      <sheetName val="Non-Statistical Sampling"/>
      <sheetName val="AR Drop Downs"/>
      <sheetName val="DropDown"/>
      <sheetName val="dklx"/>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Criteria"/>
      <sheetName val="BS+PL200613"/>
      <sheetName val="06Adjustment"/>
      <sheetName val="BS+PL200701"/>
      <sheetName val="BS+PL200702"/>
      <sheetName val="BS+PL200703"/>
      <sheetName val="BS+PL200705"/>
      <sheetName val="BS+PL200704"/>
      <sheetName val="BS+PL200706"/>
      <sheetName val="BS+PL200707"/>
      <sheetName val="BS+PL200710"/>
      <sheetName val="BS+PL200709"/>
      <sheetName val="BS+PL200708"/>
      <sheetName val="BS+PL200711"/>
      <sheetName val="Calendar"/>
      <sheetName val="Schedule"/>
      <sheetName val="BalanceSheet"/>
      <sheetName val="Trial Balance"/>
      <sheetName val="PRC-BS"/>
      <sheetName val="PRC-P&amp;L"/>
      <sheetName val="Billing"/>
      <sheetName val="CIS"/>
      <sheetName val="A1"/>
      <sheetName val="FC revaluation"/>
      <sheetName val="A2"/>
      <sheetName val="A3"/>
      <sheetName val="A31"/>
      <sheetName val="A4"/>
      <sheetName val="A41"/>
      <sheetName val="A42"/>
      <sheetName val="A43"/>
      <sheetName val="A5"/>
      <sheetName val="A51"/>
      <sheetName val="A6"/>
      <sheetName val="A61"/>
      <sheetName val="A62"/>
      <sheetName val="A63"/>
      <sheetName val="A64"/>
      <sheetName val="A7"/>
      <sheetName val="A8"/>
      <sheetName val="A81"/>
      <sheetName val="A9"/>
      <sheetName val="A13"/>
      <sheetName val="A10"/>
      <sheetName val="FA"/>
      <sheetName val="AUC"/>
      <sheetName val="A11"/>
      <sheetName val="A111"/>
      <sheetName val="A112"/>
      <sheetName val="A12"/>
      <sheetName val="A121"/>
      <sheetName val="A122"/>
      <sheetName val="B3"/>
      <sheetName val="AP Aging"/>
      <sheetName val="AP Breakdown"/>
      <sheetName val="Consignment"/>
      <sheetName val="Consignment Breakdown"/>
      <sheetName val="GRIR汇总"/>
      <sheetName val="GRIR breakown"/>
      <sheetName val="40811&amp;40812串户"/>
      <sheetName val="B4"/>
      <sheetName val="B41"/>
      <sheetName val="B5"/>
      <sheetName val="B51"/>
      <sheetName val="B55"/>
      <sheetName val="B56"/>
      <sheetName val="B57"/>
      <sheetName val="B59"/>
      <sheetName val="B58"/>
      <sheetName val="社保对账"/>
      <sheetName val="B6"/>
      <sheetName val="B61-VAT input transfer out"/>
      <sheetName val="进项税转出"/>
      <sheetName val="出口明细"/>
      <sheetName val="B62-VAT input"/>
      <sheetName val="进项税差异(monthly)"/>
      <sheetName val="进项税差异(YTD)"/>
      <sheetName val="B63-VAT output"/>
      <sheetName val="Deemed sales"/>
      <sheetName val="销项税差异(monthly)"/>
      <sheetName val="销项税额差异(YTD)"/>
      <sheetName val="申报表"/>
      <sheetName val="附表一"/>
      <sheetName val="附表二"/>
      <sheetName val="B66"/>
      <sheetName val="B67"/>
      <sheetName val="B68"/>
      <sheetName val="B69"/>
      <sheetName val="B610"/>
      <sheetName val="B611"/>
      <sheetName val="B612"/>
      <sheetName val="B612A"/>
      <sheetName val="B7"/>
      <sheetName val="B8"/>
      <sheetName val="B82"/>
      <sheetName val="B80"/>
      <sheetName val="B90"/>
      <sheetName val="B9"/>
      <sheetName val="B91"/>
      <sheetName val="B911"/>
      <sheetName val="Annual Rebate Y2010 "/>
      <sheetName val="Quarter Rebate Y2010"/>
      <sheetName val="Annual Rebate Y2011"/>
      <sheetName val="十送一"/>
      <sheetName val="Quarter Rebate Y2011"/>
      <sheetName val="Annual bonus"/>
      <sheetName val="B915"/>
      <sheetName val="B916"/>
      <sheetName val="B918"/>
      <sheetName val="B917"/>
      <sheetName val="B919"/>
      <sheetName val="B920"/>
      <sheetName val="B921"/>
      <sheetName val="统一付费"/>
      <sheetName val="非统一付费"/>
      <sheetName val="B922"/>
      <sheetName val="B923"/>
      <sheetName val="B924"/>
      <sheetName val="B927"/>
      <sheetName val="B928"/>
      <sheetName val="B929"/>
      <sheetName val="B925"/>
      <sheetName val="B926"/>
      <sheetName val="B931"/>
      <sheetName val="B932"/>
      <sheetName val="B933"/>
      <sheetName val="B10"/>
      <sheetName val="B11"/>
      <sheetName val="B12"/>
      <sheetName val="owner's equity summary"/>
      <sheetName val="Net result"/>
      <sheetName val="Deferred Tax work sheet"/>
      <sheetName val="Defer Tax"/>
      <sheetName val="BS+PL200712"/>
      <sheetName val="PRC BS"/>
      <sheetName val="PRC IS"/>
      <sheetName val="Detail"/>
      <sheetName val="核銷表"/>
      <sheetName val="Cover"/>
      <sheetName val="Conclusion"/>
      <sheetName val="AFEMAI"/>
      <sheetName val="KE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OS"/>
      <sheetName val="FS-Mgt"/>
      <sheetName val="List"/>
      <sheetName val="SOA"/>
      <sheetName val="F"/>
      <sheetName val="Inventory"/>
      <sheetName val="工程统计"/>
      <sheetName val="FA"/>
      <sheetName val="FA-MV"/>
      <sheetName val="FA-Add&amp;Reduce"/>
      <sheetName val="FA-BD"/>
      <sheetName val="CIP"/>
      <sheetName val="Intangible Assets"/>
      <sheetName val="Sheet4"/>
      <sheetName val="LBO"/>
      <sheetName val="Comps"/>
      <sheetName val="EVA"/>
      <sheetName val="LTM"/>
      <sheetName val="Notes"/>
      <sheetName val="HireIT00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Parametres"/>
      <sheetName val="Axe Industrie"/>
      <sheetName val="Data"/>
      <sheetName val="ACE-OUT"/>
      <sheetName val="List"/>
    </sheetNames>
    <sheetDataSet>
      <sheetData sheetId="0" refreshError="1"/>
      <sheetData sheetId="1" refreshError="1"/>
      <sheetData sheetId="2" refreshError="1"/>
      <sheetData sheetId="3" refreshError="1"/>
      <sheetData sheetId="4"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Database1"/>
      <sheetName val="Database2"/>
      <sheetName val="ACdata"/>
      <sheetName val="Sum"/>
      <sheetName val="Allocation"/>
      <sheetName val="key2008"/>
      <sheetName val="Key2008 (2)"/>
      <sheetName val="Allocation Ratio"/>
      <sheetName val="Salary"/>
      <sheetName val="Data"/>
      <sheetName val="Income FI"/>
      <sheetName val="Pension ee FI"/>
      <sheetName val="Medical ee FI"/>
      <sheetName val="Unemployment ee FI"/>
      <sheetName val="Housing ee FI"/>
      <sheetName val="Pension Co FI"/>
      <sheetName val="Medical Co FI"/>
      <sheetName val="Unemployment Co FI"/>
      <sheetName val="Injury Co FI"/>
      <sheetName val="Housing Co FI"/>
      <sheetName val="Double Pay  "/>
      <sheetName val="Incentive Pay"/>
      <sheetName val="Sub-Labor"/>
      <sheetName val="Y+1 FA SBU%"/>
      <sheetName val="Look up date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INIT"/>
      <sheetName val="BaseSocial"/>
      <sheetName val="BaseAjust"/>
      <sheetName val="VT9"/>
      <sheetName val="VT8"/>
      <sheetName val="SIF IFRS Social"/>
      <sheetName val="SIF IFRS Ajusted"/>
      <sheetName val="Margin analysis IFRS"/>
      <sheetName val="adjustments SIF"/>
      <sheetName val="Dropdown list"/>
      <sheetName val="IS"/>
      <sheetName val="AC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STOCK"/>
      <sheetName val="Flash 2001"/>
      <sheetName val="PRODUCTION "/>
      <sheetName val="SAFETY"/>
      <sheetName val="headcount"/>
      <sheetName val="PRODUCTIVITY"/>
      <sheetName val="absenteism"/>
      <sheetName val="WASTE"/>
      <sheetName val="INVENTORY"/>
      <sheetName val="RM&amp;FG INVENTORY"/>
      <sheetName val="Criteria"/>
      <sheetName val="BS+PL200712"/>
      <sheetName val="Consultants local currenc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Fin_Dashboard"/>
      <sheetName val="ContractList"/>
      <sheetName val="Act"/>
      <sheetName val="BS"/>
      <sheetName val="PL"/>
      <sheetName val="2002.12.31Leasehold MVT"/>
      <sheetName val="List"/>
      <sheetName val="Database"/>
      <sheetName val="Flash 2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附注63-所得税-V080530"/>
      <sheetName val="附注63-所得税-V080515"/>
      <sheetName val="附注63-所得税"/>
      <sheetName val="SH Reconciliation"/>
      <sheetName val="MS&amp;MXBJ"/>
      <sheetName val="MECBJ"/>
      <sheetName val="代垫媒介制作费应收额汇总"/>
      <sheetName val="2007 关联方交易明细 "/>
      <sheetName val="附注63-所得税-V080521"/>
      <sheetName val="Parametres"/>
      <sheetName val="J&amp;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Data Pool"/>
      <sheetName val="Note"/>
      <sheetName val="ER Data"/>
      <sheetName val="ER Data-1"/>
      <sheetName val="ER Data-2"/>
      <sheetName val="ER Data-3"/>
      <sheetName val="PL"/>
      <sheetName val="BS"/>
      <sheetName val="EPS"/>
      <sheetName val="For report"/>
      <sheetName val="CF2015Q1"/>
      <sheetName val="CF2015Q2"/>
      <sheetName val="CF2015Q3"/>
      <sheetName val="CF-PRC"/>
      <sheetName val="Equity Movement"/>
      <sheetName val="Net GMV"/>
      <sheetName val="Q&amp;A Deck"/>
      <sheetName val="分类"/>
      <sheetName val="Consolidation-RMB"/>
      <sheetName val="Consolidation"/>
      <sheetName val="Consolidation - Detail"/>
      <sheetName val="查询"/>
      <sheetName val="US EJE"/>
      <sheetName val="RMB EJE"/>
      <sheetName val="AP贷方"/>
      <sheetName val="Rate"/>
      <sheetName val="05-BJ"/>
      <sheetName val="01-CR"/>
      <sheetName val="02-CRF"/>
      <sheetName val="04-SJT"/>
      <sheetName val="06-SH"/>
      <sheetName val="07-SHQM"/>
      <sheetName val="08-WFJ"/>
      <sheetName val="09-CD"/>
      <sheetName val="10-CDHD"/>
      <sheetName val="11-TJXRE"/>
      <sheetName val="12-XREHD"/>
      <sheetName val="13-TJDL"/>
      <sheetName val="14-DLHD"/>
      <sheetName val="15-TJWNS"/>
      <sheetName val="16-WSY"/>
      <sheetName val="17-WKS"/>
      <sheetName val="18-WGZ"/>
      <sheetName val="19-WCD"/>
      <sheetName val="20-WBJ"/>
      <sheetName val="21-WHD"/>
      <sheetName val="22-ZZWNS"/>
      <sheetName val="23-DR"/>
      <sheetName val="24-YX"/>
      <sheetName val="25-SZKJ"/>
      <sheetName val="26-WX"/>
      <sheetName val="27-TJHFD"/>
      <sheetName val="28-ZZHFD"/>
      <sheetName val="29-HFDZH"/>
      <sheetName val="30-HFDHZ"/>
      <sheetName val="31-HFDNB"/>
      <sheetName val="32-HFDSZ"/>
      <sheetName val="33-SZJS"/>
      <sheetName val="34-SHYP"/>
      <sheetName val="35-HZYP"/>
      <sheetName val="36-ZH"/>
      <sheetName val="37-NB"/>
      <sheetName val="38-CM"/>
      <sheetName val="39-HK"/>
      <sheetName val="40-HKHT"/>
      <sheetName val="42-CMATE"/>
      <sheetName val="43-Super"/>
      <sheetName val="BJ ADJ"/>
      <sheetName val="CR ADJ"/>
      <sheetName val="CRF ADJ"/>
      <sheetName val="WFJ ADJ"/>
      <sheetName val="SJT ADJ"/>
      <sheetName val="SH ADJ"/>
      <sheetName val="SHQM ADJ"/>
      <sheetName val="CD ADJ"/>
      <sheetName val="TJDL ADJ"/>
      <sheetName val="TJXRE ADJ"/>
      <sheetName val="TJWNS ADJ"/>
      <sheetName val="SZKJ ADJ"/>
      <sheetName val="ZZWNS ADJ"/>
      <sheetName val="HZYP ADJ"/>
      <sheetName val="ZZHFD ADJ"/>
      <sheetName val="HFDZH ADJ"/>
      <sheetName val="HFDSZ ADJ"/>
      <sheetName val="YX ADJ"/>
      <sheetName val="SZJS ADJ"/>
      <sheetName val="NB ADJ"/>
      <sheetName val="WSY ADJ"/>
      <sheetName val="CMATE ADJ"/>
      <sheetName val="Super ADJ"/>
      <sheetName val="HKHT ADJ US"/>
      <sheetName val="HK ADJ US"/>
      <sheetName val="CM ADJ US"/>
      <sheetName val="05-BJ-Q"/>
      <sheetName val="01-CR-Q"/>
      <sheetName val="02-CRF-Q"/>
      <sheetName val="04-SJT-Q"/>
      <sheetName val="06-SH-Q"/>
      <sheetName val="07-SHQM-Q"/>
      <sheetName val="08-WFJ-Q"/>
      <sheetName val="09-CD-Q"/>
      <sheetName val="10-CDHD-Q"/>
      <sheetName val="11-TJXRE-Q"/>
      <sheetName val="12-XREHD-Q"/>
      <sheetName val="13-TJDL-Q"/>
      <sheetName val="14-DLHD-Q"/>
      <sheetName val="15-TJWNS-Q"/>
      <sheetName val="16-WSY-Q"/>
      <sheetName val="17-WKS-Q"/>
      <sheetName val="18-WGZ-Q"/>
      <sheetName val="19-WCD-Q"/>
      <sheetName val="20-WBJ-Q"/>
      <sheetName val="21-WHD-Q"/>
      <sheetName val="22-ZZWNS-Q"/>
      <sheetName val="23-DR-Q"/>
      <sheetName val="24-YX-Q"/>
      <sheetName val="25-SZKJ-Q"/>
      <sheetName val="26-WX-Q"/>
      <sheetName val="27-TJHFD-Q"/>
      <sheetName val="28-ZZHFD-Q"/>
      <sheetName val="29-HFDZH-Q"/>
      <sheetName val="30-HFDHZ-Q"/>
      <sheetName val="31-HFDNB-Q"/>
      <sheetName val="32-HFDSZ-Q"/>
      <sheetName val="33-SZJS-Q"/>
      <sheetName val="34-SHYP-Q"/>
      <sheetName val="35-HZYP-Q"/>
      <sheetName val="36-ZH-Q"/>
      <sheetName val="37-NB-Q"/>
      <sheetName val="38-CM-Q"/>
      <sheetName val="39-HK-Q"/>
      <sheetName val="40-HKHT-Q"/>
      <sheetName val="42-CMATE-Q"/>
      <sheetName val="43-Super-Q"/>
      <sheetName val="HK-Q 2014"/>
      <sheetName val="CM-Q 2014"/>
      <sheetName val="IA"/>
      <sheetName val="01-CR20150930"/>
      <sheetName val="02-CRF20150930"/>
      <sheetName val="04-SJT20150930"/>
      <sheetName val="05-BJ20150930"/>
      <sheetName val="06-SH20150930"/>
      <sheetName val="07-SHQM20150930"/>
      <sheetName val="08-WFJ20150930"/>
      <sheetName val="09-CD20150930"/>
      <sheetName val="10-CDHD20150930"/>
      <sheetName val="11-TJXRE20150930"/>
      <sheetName val="12-XREHD20150930"/>
      <sheetName val="13-TJDL20150930"/>
      <sheetName val="14-DLHD20150930"/>
      <sheetName val="15-TJWNS20150930"/>
      <sheetName val="16-WSY20150930"/>
      <sheetName val="17-WKS20150930"/>
      <sheetName val="18-WGZ20150930"/>
      <sheetName val="19-WCD20150930"/>
      <sheetName val="20-WBJ20150930"/>
      <sheetName val="21-WHD20150930"/>
      <sheetName val="22-ZZWNS20150930"/>
      <sheetName val="23-DR20150930"/>
      <sheetName val="24-YX20150930"/>
      <sheetName val="25-SZKJ20150930"/>
      <sheetName val="26-WX20150930"/>
      <sheetName val="27-TJHFD20150930"/>
      <sheetName val="28-ZZHFD20150930"/>
      <sheetName val="29-HFDZH20150930"/>
      <sheetName val="30-HFDHZ20150930"/>
      <sheetName val="31-HFDNB20150930"/>
      <sheetName val="32-HFDSZ20150930"/>
      <sheetName val="33-SZJS20150930"/>
      <sheetName val="34-SHYP20150930"/>
      <sheetName val="35-HZYP20150930"/>
      <sheetName val="36-ZH20150930"/>
      <sheetName val="37-NB20150930"/>
      <sheetName val="38-CM20150930"/>
      <sheetName val="39-HK20150930"/>
      <sheetName val="40-HKHT20150930"/>
      <sheetName val="42-CMATE20150930"/>
      <sheetName val="43-Super20150930"/>
      <sheetName val="Tickmark"/>
      <sheetName val="Rev&amp;Cost "/>
      <sheetName val="ACdata"/>
      <sheetName val="Currency"/>
      <sheetName val="Non-Statistical Sampl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FXRate"/>
      <sheetName val="Check Summary"/>
      <sheetName val="CF-VIE"/>
      <sheetName val="Comments"/>
      <sheetName val="Disclosure--&gt;"/>
      <sheetName val="FS"/>
      <sheetName val="US Report BS"/>
      <sheetName val="US Report PL"/>
      <sheetName val="Consol - CF"/>
      <sheetName val="EPS"/>
      <sheetName val="Equity movement"/>
      <sheetName val="Subsidaries and VIE"/>
      <sheetName val="Cash and cash equivalents"/>
      <sheetName val="Short-term investment"/>
      <sheetName val="Business com."/>
      <sheetName val="Other receivables, net"/>
      <sheetName val="OR"/>
      <sheetName val="Parent Report BS"/>
      <sheetName val="Parenr Report PL"/>
      <sheetName val="AR"/>
      <sheetName val="Goodwill"/>
      <sheetName val="长短期借款"/>
      <sheetName val="Finance lease"/>
      <sheetName val="OP"/>
      <sheetName val="预付账款"/>
      <sheetName val="Related Party Transactions"/>
      <sheetName val="Guarantee"/>
      <sheetName val="PPE"/>
      <sheetName val="Investment"/>
      <sheetName val="无形资产"/>
      <sheetName val="应交税费"/>
      <sheetName val="Measured at fair value"/>
      <sheetName val="ESOP"/>
      <sheetName val="Prefer shares"/>
      <sheetName val="Shares Movement"/>
      <sheetName val="Financial derivatives"/>
      <sheetName val="其他--&gt;"/>
      <sheetName val="Revenues"/>
      <sheetName val="Time deposit list"/>
      <sheetName val="税金及附加"/>
      <sheetName val="Segment information"/>
      <sheetName val="SBC Expense"/>
      <sheetName val="Borrowing list"/>
      <sheetName val="存货"/>
      <sheetName val="应付职工薪酬"/>
      <sheetName val="AP"/>
      <sheetName val="投资收益"/>
      <sheetName val="预收账款"/>
      <sheetName val="Cost"/>
      <sheetName val="运营费用"/>
      <sheetName val="研发费用"/>
      <sheetName val="G&amp;A"/>
      <sheetName val="财务费用"/>
      <sheetName val="营业外收支"/>
      <sheetName val="资产减值损失"/>
      <sheetName val="Underwriting"/>
      <sheetName val="费用重分类--&gt;"/>
      <sheetName val="费用&amp;成本(非路宝)"/>
      <sheetName val="费用&amp;成本分类(非路宝)"/>
      <sheetName val="费用&amp;成本分类(含路宝)"/>
      <sheetName val="End"/>
      <sheetName val="Draft"/>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销售收入、成本、费用、税金分析表"/>
      <sheetName val="销售收入、成本、费用、税金年度对比表"/>
      <sheetName val="销售收入、成本汇总表"/>
      <sheetName val="分产品销售收入、成本分析表"/>
      <sheetName val="3690.HK_Exchange_Sheet"/>
      <sheetName val="3690.HK_Live_Sheet"/>
      <sheetName val="3690.HK_Validation_Sheet"/>
      <sheetName val="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Financial highlight"/>
      <sheetName val="Dilution_analysis"/>
      <sheetName val="Price_assumptions"/>
      <sheetName val="Financial highligts"/>
      <sheetName val="Profits analysis"/>
      <sheetName val="Valuation analysis"/>
      <sheetName val="Comparables analysis"/>
      <sheetName val="Contribution projects"/>
      <sheetName val="Critical issues"/>
      <sheetName val="Yearly"/>
      <sheetName val="Setting"/>
      <sheetName val="Global"/>
      <sheetName val="Mgt_Assumption_Summary"/>
      <sheetName val="Chinese Summary"/>
      <sheetName val="06 deli projects"/>
      <sheetName val="DTT"/>
      <sheetName val="Summary"/>
      <sheetName val="Discount rate control"/>
      <sheetName val="Control"/>
      <sheetName val="GFA"/>
      <sheetName val="output"/>
      <sheetName val="Consolidate"/>
      <sheetName val="Holdco"/>
      <sheetName val="Bank Debt"/>
      <sheetName val="P1"/>
      <sheetName val="P2"/>
      <sheetName val="P3"/>
      <sheetName val="P4"/>
      <sheetName val="P5"/>
      <sheetName val="P6"/>
      <sheetName val="P7"/>
      <sheetName val="P8"/>
      <sheetName val="P9"/>
      <sheetName val="P10"/>
      <sheetName val="P11"/>
      <sheetName val="P12"/>
      <sheetName val="P13"/>
      <sheetName val="P14"/>
      <sheetName val="P15"/>
      <sheetName val="P16"/>
      <sheetName val="P17"/>
      <sheetName val="P18"/>
      <sheetName val="P19"/>
      <sheetName val="P20"/>
      <sheetName val="P21"/>
      <sheetName val="P22"/>
      <sheetName val="P23"/>
      <sheetName val="P24"/>
      <sheetName val="P25"/>
      <sheetName val="P26"/>
      <sheetName val="P27"/>
      <sheetName val="P28"/>
      <sheetName val="P29"/>
      <sheetName val="P30"/>
      <sheetName val="P31"/>
      <sheetName val="P32"/>
      <sheetName val="P33"/>
      <sheetName val="P34"/>
      <sheetName val="P35"/>
      <sheetName val="P36"/>
      <sheetName val="P37"/>
      <sheetName val="P38"/>
      <sheetName val="P39"/>
      <sheetName val="P40"/>
      <sheetName val="P41"/>
      <sheetName val="P42"/>
      <sheetName val="P43"/>
      <sheetName val="P44"/>
      <sheetName val="P45"/>
      <sheetName val="P46"/>
      <sheetName val="P47"/>
      <sheetName val="P48"/>
      <sheetName val="P49"/>
      <sheetName val="P50"/>
      <sheetName val="P51"/>
      <sheetName val="P52"/>
      <sheetName val="P53"/>
      <sheetName val="P54"/>
      <sheetName val="P55"/>
      <sheetName val="P56"/>
      <sheetName val="P57"/>
      <sheetName val="P58"/>
      <sheetName val="P59"/>
      <sheetName val="P60"/>
      <sheetName val="P99"/>
      <sheetName val="P100"/>
      <sheetName val="P101"/>
      <sheetName val="P102"/>
      <sheetName val="P103"/>
      <sheetName val="P104"/>
      <sheetName val="P105"/>
      <sheetName val="P106"/>
      <sheetName val="P107"/>
      <sheetName val="P108"/>
      <sheetName val="P109"/>
      <sheetName val="P110"/>
      <sheetName val="P111"/>
      <sheetName val="P112"/>
      <sheetName val="P113"/>
      <sheetName val="P114"/>
      <sheetName val="P115"/>
      <sheetName val="P116"/>
      <sheetName val="P117"/>
      <sheetName val="P118"/>
      <sheetName val="P119"/>
      <sheetName val="P120"/>
      <sheetName val="P121"/>
      <sheetName val="P122"/>
      <sheetName val="P123"/>
      <sheetName val="P124"/>
      <sheetName val="P125"/>
      <sheetName val="P126"/>
      <sheetName val="P200"/>
      <sheetName val="Sheet1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Financial highlight"/>
      <sheetName val="Dilution_analysis"/>
      <sheetName val="Price_assumptions"/>
      <sheetName val="Financial highligts"/>
      <sheetName val="Profits analysis"/>
      <sheetName val="Valuation analysis"/>
      <sheetName val="Comparables analysis"/>
      <sheetName val="Contribution projects"/>
      <sheetName val="Critical issues"/>
      <sheetName val="Yearly"/>
      <sheetName val="Setting"/>
      <sheetName val="Global"/>
      <sheetName val="Mgt_Assumption_Summary"/>
      <sheetName val="Chinese Summary"/>
      <sheetName val="06 deli projects"/>
      <sheetName val="DTT"/>
      <sheetName val="Summary"/>
      <sheetName val="Discount rate control"/>
      <sheetName val="Control"/>
      <sheetName val="GFA"/>
      <sheetName val="output"/>
      <sheetName val="Consolidate"/>
      <sheetName val="Holdco"/>
      <sheetName val="Bank Debt"/>
      <sheetName val="P1"/>
      <sheetName val="P2"/>
      <sheetName val="P3"/>
      <sheetName val="P4"/>
      <sheetName val="P5"/>
      <sheetName val="P6"/>
      <sheetName val="P7"/>
      <sheetName val="P8"/>
      <sheetName val="P9"/>
      <sheetName val="P10"/>
      <sheetName val="P11"/>
      <sheetName val="P12"/>
      <sheetName val="P13"/>
      <sheetName val="P14"/>
      <sheetName val="P15"/>
      <sheetName val="P16"/>
      <sheetName val="P17"/>
      <sheetName val="P18"/>
      <sheetName val="P19"/>
      <sheetName val="P20"/>
      <sheetName val="P21"/>
      <sheetName val="P22"/>
      <sheetName val="P23"/>
      <sheetName val="P24"/>
      <sheetName val="P25"/>
      <sheetName val="P26"/>
      <sheetName val="P27"/>
      <sheetName val="P28"/>
      <sheetName val="P29"/>
      <sheetName val="P30"/>
      <sheetName val="P31"/>
      <sheetName val="P32"/>
      <sheetName val="P33"/>
      <sheetName val="P34"/>
      <sheetName val="P35"/>
      <sheetName val="P36"/>
      <sheetName val="P37"/>
      <sheetName val="P38"/>
      <sheetName val="P39"/>
      <sheetName val="P40"/>
      <sheetName val="P41"/>
      <sheetName val="P42"/>
      <sheetName val="P43"/>
      <sheetName val="P44"/>
      <sheetName val="P45"/>
      <sheetName val="P46"/>
      <sheetName val="P47"/>
      <sheetName val="P48"/>
      <sheetName val="P49"/>
      <sheetName val="P50"/>
      <sheetName val="P51"/>
      <sheetName val="P52"/>
      <sheetName val="P53"/>
      <sheetName val="P54"/>
      <sheetName val="P55"/>
      <sheetName val="P56"/>
      <sheetName val="P57"/>
      <sheetName val="P58"/>
      <sheetName val="P59"/>
      <sheetName val="P60"/>
      <sheetName val="P99"/>
      <sheetName val="P100"/>
      <sheetName val="P101"/>
      <sheetName val="P102"/>
      <sheetName val="P103"/>
      <sheetName val="P104"/>
      <sheetName val="P105"/>
      <sheetName val="P106"/>
      <sheetName val="P107"/>
      <sheetName val="P108"/>
      <sheetName val="P109"/>
      <sheetName val="P110"/>
      <sheetName val="P111"/>
      <sheetName val="P112"/>
      <sheetName val="P113"/>
      <sheetName val="P114"/>
      <sheetName val="P115"/>
      <sheetName val="P116"/>
      <sheetName val="P117"/>
      <sheetName val="P118"/>
      <sheetName val="P119"/>
      <sheetName val="P120"/>
      <sheetName val="P121"/>
      <sheetName val="P122"/>
      <sheetName val="P123"/>
      <sheetName val="P124"/>
      <sheetName val="P125"/>
      <sheetName val="P126"/>
      <sheetName val="P200"/>
      <sheetName val="PNVp20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PLCCOMMA"/>
      <sheetName val="COMMAUK"/>
      <sheetName val="BETEILPLCG"/>
      <sheetName val="PLCPLACO"/>
      <sheetName val="PLCGYPROCNORDIC"/>
      <sheetName val="FULUK8"/>
      <sheetName val="BaseAjust"/>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SUMMARY"/>
      <sheetName val="Diary"/>
      <sheetName val="BGBVGYPROC1"/>
      <sheetName val="BGBVGYPROC2A"/>
      <sheetName val="BGBVGYPROC2B"/>
      <sheetName val="bgbvgyprocorig"/>
      <sheetName val="BGBVSTAWIANY1"/>
      <sheetName val="BGBVSTAWIANY2"/>
      <sheetName val="BGBVSTAWIANY3"/>
      <sheetName val="BGBVSTAWIANY4"/>
      <sheetName val="BGBVSTAWIANY5"/>
      <sheetName val="BGBVSTAWIANY6"/>
      <sheetName val="BGBVRUSSIA"/>
      <sheetName val="BGBVRUSSIA1"/>
      <sheetName val="GIBVHUNG"/>
      <sheetName val="GIBVPLACO"/>
      <sheetName val="GIPLCGIBV"/>
      <sheetName val="BENLUXGIBV"/>
      <sheetName val="BGBVGIBV"/>
      <sheetName val="repaidINVSGBVNLG1"/>
      <sheetName val="repaidPLCBPBGBV"/>
      <sheetName val="repaidPLCBPBGBV2"/>
      <sheetName val="repaidPLCGBVDEM"/>
      <sheetName val="repaidPLCGBVDEM2"/>
      <sheetName val="repaidPLCGBVDEM3"/>
      <sheetName val="repaidINVSGBVNLG"/>
      <sheetName val="Fin_Dashboard"/>
      <sheetName val="Defini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BPBGBVROMANIA"/>
      <sheetName val="BGBVSTAWIANY13"/>
      <sheetName val="BGBVSTAWIANY12"/>
      <sheetName val="BGBVSTAWIANY11"/>
      <sheetName val="BGBVSTAWIANY10"/>
      <sheetName val="BGBVSTAWIANY9"/>
      <sheetName val="BGBVSTAWIANY8"/>
      <sheetName val="BGBVSTAWIANY7"/>
      <sheetName val="BGBVSTAWIANY6"/>
      <sheetName val="BGBVSTAWIANY5"/>
      <sheetName val="BGBVSTAWIANY4"/>
      <sheetName val="BGBVSTAWIANY3"/>
      <sheetName val="BGBVSTAWIANY2"/>
      <sheetName val="BGBVSTAWIANY1"/>
      <sheetName val="BGBVRUSSIA1"/>
      <sheetName val="BGBVRUSSIA2"/>
      <sheetName val="BGBVRUSSIA3"/>
      <sheetName val="GIBVCZECH1"/>
      <sheetName val="GIBVCZECH2"/>
      <sheetName val="GIBVCZECH3"/>
      <sheetName val="GIBVCZECH4"/>
      <sheetName val="GIBVCZECH5"/>
      <sheetName val="SH Reconciliation"/>
      <sheetName val="3690.HK_Exchange_Sheet"/>
      <sheetName val="3690.HK_Live_Sheet"/>
      <sheetName val="3690.HK_Validation_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BPBGBVSTAWIANYEUR"/>
      <sheetName val="BGBVBPBASIA3"/>
      <sheetName val="Rate"/>
    </sheetNames>
    <sheetDataSet>
      <sheetData sheetId="0" refreshError="1"/>
      <sheetData sheetId="1" refreshError="1"/>
      <sheetData sheetId="2"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BPBFGPLCEUR"/>
      <sheetName val="FIN4PLCUSD2M"/>
      <sheetName val="PLCPLACOUSD"/>
      <sheetName val="SUMMARY ALL CO'S"/>
      <sheetName val="BPBF6BPBIO"/>
      <sheetName val="PLCCOMMGBP2"/>
      <sheetName val="SIMPPLC"/>
      <sheetName val="PLCFIN5"/>
      <sheetName val="BPBGBVPLC"/>
      <sheetName val="GILEURPLC"/>
      <sheetName val="HUNGPLCHUF"/>
      <sheetName val="HUNGPLCEUR (2)"/>
      <sheetName val="BPBF4PLCUSD2"/>
      <sheetName val="BGIUK"/>
      <sheetName val="RIGIPSASPLC"/>
      <sheetName val="SCONSPLC"/>
      <sheetName val="PLCCOMMGBP330M"/>
      <sheetName val="GYPBENEVOPAN"/>
      <sheetName val="GYPBENISOGIPS"/>
      <sheetName val="GYPBENPLCEUR100M"/>
      <sheetName val="PLCCOMMEUR84M"/>
      <sheetName val="PLCPOLSKA"/>
      <sheetName val="PLCBPBF4USD"/>
      <sheetName val="FIN4INDIAGYPUSD7MX2"/>
      <sheetName val="FIN4INDIAGYPUSD7M"/>
      <sheetName val="PLACOPLCEUR100M"/>
      <sheetName val="PLCRIGAUSEUR6M"/>
      <sheetName val="BPBF4PDOB"/>
      <sheetName val="BPBINVPLC"/>
      <sheetName val="FIN4PLCUSD15M"/>
      <sheetName val="HUNGPLCEUR"/>
      <sheetName val="PLCDISTEUR50M"/>
      <sheetName val="PLCDISTEUR6M"/>
      <sheetName val="BPBF5PLCGBP"/>
      <sheetName val="PLACODAV2"/>
      <sheetName val="PLACODAV"/>
      <sheetName val="PLCBPBAMUSD20M"/>
      <sheetName val="PLCPLADOB4"/>
      <sheetName val="LPSPLCCHF"/>
      <sheetName val="RIGAGPLCCHF"/>
      <sheetName val="LUXSWIRIGAUSEUR"/>
      <sheetName val="PLCRIGAUSEUR"/>
      <sheetName val="PLCBPBF4USD4M"/>
      <sheetName val="BPBF4NORTHROC"/>
      <sheetName val="PLCFIN3GBP"/>
      <sheetName val="PLCPHIUSD"/>
      <sheetName val="PLCPHIGBP5M"/>
      <sheetName val="PLCBPBUSHUSD350M"/>
      <sheetName val="BPBIOPLCUSD255M"/>
      <sheetName val="PLCBPBIOGBP200M"/>
      <sheetName val="PLCPLACOUSD10M"/>
      <sheetName val="PLCPLADOB3"/>
      <sheetName val="LUXSWIPLACOEUR18M"/>
      <sheetName val="LUXPLACOEUR1M"/>
      <sheetName val="RIGAGPLCCHF1M"/>
      <sheetName val="RIGAGPLCEUR1M"/>
      <sheetName val="PLCISOEUR1+M"/>
      <sheetName val="PLC2DAVEUR20M"/>
      <sheetName val="PLCDAVEUR20M"/>
      <sheetName val="PLCPLADOB2"/>
      <sheetName val="GYPABPLCSEK"/>
      <sheetName val="PLCTURKEY"/>
      <sheetName val="LUXPLACOST"/>
      <sheetName val="LUXSWIPLACOST"/>
      <sheetName val="PLCCOMMGBP"/>
      <sheetName val="GYPIBBPBIB"/>
      <sheetName val="IBSWIPLACO"/>
      <sheetName val="IBSWIBETEIL"/>
      <sheetName val="IGADVCIN2"/>
      <sheetName val="IGADVCIN"/>
      <sheetName val="LUXSWIGYPIB"/>
      <sheetName val="LUXGYPIB"/>
      <sheetName val="BPBFIN3INVS"/>
      <sheetName val="IGEURPLC"/>
      <sheetName val="FULMARGBPPLC"/>
      <sheetName val="SIMPEURPLC"/>
      <sheetName val="PLCPLACOEUR365M"/>
      <sheetName val="BPBGBVPLCEUR15M"/>
      <sheetName val="UKPLCGBP100M"/>
      <sheetName val="PLCUKGBP300M"/>
      <sheetName val="PLCPDOBUSD"/>
      <sheetName val="PLCWESTCAD25M"/>
      <sheetName val="PLCNORTHROC"/>
      <sheetName val="PLCIBER13M"/>
      <sheetName val="BPBHLDGSPLC"/>
      <sheetName val="PLCEVOPAN"/>
      <sheetName val="INDIA"/>
      <sheetName val="PLCINDIAGYP"/>
      <sheetName val="LPSEUR"/>
      <sheetName val="LPSCHF"/>
      <sheetName val="PLCEYAUSTRIA"/>
      <sheetName val="FINANCE2PLC"/>
      <sheetName val="BPBUKLTD"/>
      <sheetName val="PLCSCANSEM"/>
      <sheetName val="UKISOVERAD"/>
      <sheetName val="UKISOVERBCEF"/>
      <sheetName val="FRANCE INVS B"/>
      <sheetName val="FRANCEINVESP"/>
      <sheetName val="PLACOITALYEUR20M"/>
      <sheetName val="PLACOITALY1"/>
      <sheetName val="PLACOITALY2"/>
      <sheetName val="PLACO3+4INT"/>
      <sheetName val="PLACOUK5"/>
      <sheetName val="PLACOUK6"/>
      <sheetName val="PLACOUK7"/>
      <sheetName val="PLACOUK8"/>
      <sheetName val="PLACOUK9"/>
      <sheetName val="PLACOUK10"/>
      <sheetName val="PLACOUK11"/>
      <sheetName val="PLACOUK12"/>
      <sheetName val="PLACOUK13"/>
      <sheetName val="PLACOUK14"/>
      <sheetName val="PLACOUK15"/>
      <sheetName val="PLACOUK16"/>
      <sheetName val="bgbvgyprocorig"/>
      <sheetName val="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Criteria"/>
      <sheetName val="BS+PL200503"/>
      <sheetName val="BS+PL0503-SAP"/>
      <sheetName val="BS0503-PRC"/>
      <sheetName val="PRC BS"/>
      <sheetName val="IS0503-PRC"/>
      <sheetName val="BPBBETEIL"/>
      <sheetName val="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预计利润表－项目核对"/>
      <sheetName val="Setting"/>
      <sheetName val="Global"/>
      <sheetName val="Detail"/>
      <sheetName val="Consolidate"/>
      <sheetName val="output"/>
      <sheetName val="2009"/>
      <sheetName val="2010"/>
      <sheetName val="Summary"/>
      <sheetName val="GFA"/>
      <sheetName val="Control"/>
      <sheetName val="Bank Debt"/>
      <sheetName val="New Report"/>
      <sheetName val="Financial statements"/>
      <sheetName val="Hotel input"/>
      <sheetName val="Cash to JV"/>
      <sheetName val="Ratio output"/>
      <sheetName val="Roadshow presentation"/>
      <sheetName val="Invest CF"/>
      <sheetName val="Credit credential"/>
      <sheetName val="Forecast panel (2009)"/>
      <sheetName val="Forecast panel (2010)"/>
      <sheetName val="Forecast panel (2011)"/>
      <sheetName val="Forecast panel (2012)"/>
      <sheetName val="Forecast panel (2013)"/>
      <sheetName val="Holdco"/>
      <sheetName val="Library Procedu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基本参数"/>
      <sheetName val="审计说明"/>
      <sheetName val="应付工资福利费分析性复核"/>
      <sheetName val="应付工资、福利审定表"/>
      <sheetName val="图例分析"/>
      <sheetName val="应付工资附加和福利费检查表"/>
      <sheetName val="2005年每月职工人数"/>
      <sheetName val="应付工资凭证查证"/>
      <sheetName val="应付福利费凭证查证"/>
      <sheetName val="应付工资 福利费底稿"/>
      <sheetName val="Library Procedures"/>
      <sheetName val="Paramet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Criteria"/>
      <sheetName val="BS+PL2004"/>
      <sheetName val="BS+PL200502"/>
      <sheetName val="BS+PL200503"/>
      <sheetName val="BS+PL200504"/>
      <sheetName val="BS+PL200505"/>
      <sheetName val="BS+PL200506"/>
      <sheetName val="BS+PL200507"/>
      <sheetName val="BS+PL200508"/>
      <sheetName val="BS+PL200509"/>
      <sheetName val="BS+PL200510"/>
      <sheetName val="BS+PL200511"/>
      <sheetName val="BS+PL200512"/>
      <sheetName val="IFRS BS"/>
      <sheetName val="PRC BS"/>
      <sheetName val="PRC IS"/>
      <sheetName val="Debtors_details"/>
      <sheetName val="Creditors_details"/>
      <sheetName val="Code"/>
      <sheetName val="Combine"/>
      <sheetName val="Treatment of Land"/>
      <sheetName val="CAL"/>
      <sheetName val="Working Capital-11"/>
      <sheetName val="Working Capital"/>
      <sheetName val="Setting"/>
      <sheetName val="BPBF4PLCUSD2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Criteria"/>
      <sheetName val="BS+PL200513"/>
      <sheetName val="BS+PL200512"/>
      <sheetName val="BS+PL200601"/>
      <sheetName val="BS+PL200602"/>
      <sheetName val="IFRS BS"/>
      <sheetName val="PRC BS"/>
      <sheetName val="PRC IS"/>
      <sheetName val="Debtors_details"/>
      <sheetName val="Creditors_details"/>
      <sheetName val="Code"/>
      <sheetName val="Combine"/>
      <sheetName val="Treatment of Land"/>
      <sheetName val="CAL"/>
      <sheetName val="Working Capital-11"/>
      <sheetName val="Working Capital"/>
      <sheetName val="Setting"/>
      <sheetName val="bpbgbvplceur2"/>
      <sheetName val="Non-Statistical Sampling"/>
      <sheetName val="AR Drop Downs"/>
      <sheetName val="Drop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A3 &amp; U 09-01"/>
      <sheetName val="A5"/>
      <sheetName val="C - Cash &amp; Bank"/>
      <sheetName val="C - Bank notes"/>
      <sheetName val="G - O-R"/>
      <sheetName val="I section"/>
      <sheetName val="K - FA"/>
      <sheetName val="K (2) - Notes to FA"/>
      <sheetName val="K4 -  r-test"/>
      <sheetName val="K3 - Loss on disposal"/>
      <sheetName val="M - Notes payable"/>
      <sheetName val="P lead"/>
      <sheetName val="P1 - Accrued payroll"/>
      <sheetName val="P1-1 Notes to payroll"/>
      <sheetName val="P2 - Accrued expenses"/>
      <sheetName val="P3 - Other payables"/>
      <sheetName val="P4 -  advance receipt"/>
      <sheetName val="P4-1 Notes to advance receipt"/>
      <sheetName val="P5 - Long term payable"/>
      <sheetName val="Q - loan"/>
      <sheetName val="Q1 - Reasonableness test"/>
      <sheetName val="S.commitment "/>
      <sheetName val="S.guarantee"/>
      <sheetName val="Tsection"/>
      <sheetName val="U1 - Manufacting"/>
      <sheetName val="U2 - selling"/>
      <sheetName val="U3 - G &amp; A"/>
      <sheetName val="U3 - 1 - salay R-test"/>
      <sheetName val="U4 - Financial"/>
      <sheetName val="U5 - other income"/>
      <sheetName val="U6 Non-operating expenses"/>
      <sheetName val="rental R.test"/>
      <sheetName val="Sheet1"/>
      <sheetName val="checkmark"/>
      <sheetName val="U lead"/>
      <sheetName val="BS"/>
      <sheetName val="BPBGBVSTAWIANYEUR"/>
      <sheetName val="Non-Statistical Sampling Master"/>
      <sheetName val="BS+PL2005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9609추"/>
      <sheetName val="8월실적"/>
      <sheetName val="BPBFGPLCEUR"/>
      <sheetName val="Exchange_Rate &amp; Costs"/>
    </sheetNames>
    <sheetDataSet>
      <sheetData sheetId="0" refreshError="1"/>
      <sheetData sheetId="1" refreshError="1"/>
      <sheetData sheetId="2" refreshError="1"/>
      <sheetData sheetId="3"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Stamp"/>
      <sheetName val="Sheet1"/>
      <sheetName val="CashPoolBal"/>
      <sheetName val="Accounting Entries"/>
      <sheetName val="LoanDetail"/>
      <sheetName val="FinancingPlan"/>
      <sheetName val="LoanTemp"/>
      <sheetName val="FPTemp"/>
      <sheetName val="FPBal"/>
      <sheetName val="LoanBal"/>
      <sheetName val="To-Dos"/>
      <sheetName val="Names&amp;Cases"/>
      <sheetName val="Revenues assumptions "/>
      <sheetName val="Summary output"/>
      <sheetName val="drop_down"/>
      <sheetName val="BPBINVPLCUSD"/>
      <sheetName val="fee_tab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Month"/>
      <sheetName val="CBS"/>
      <sheetName val="MBS"/>
      <sheetName val="EBS"/>
      <sheetName val="SCBS"/>
      <sheetName val="CWCS"/>
      <sheetName val="MBS (2)"/>
      <sheetName val="BS+PL0503-SAP"/>
      <sheetName val="Exchange_Rate &amp; Costs"/>
      <sheetName val="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Notes"/>
      <sheetName val="Changes"/>
      <sheetName val="GraphsNewFormat"/>
      <sheetName val="Graphs"/>
      <sheetName val="Data"/>
      <sheetName val="New Product Structure"/>
      <sheetName val="ProductStructure"/>
      <sheetName val="Definitions"/>
      <sheetName val="BS+PL200507"/>
      <sheetName val="F4PLCGB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New changes"/>
      <sheetName val="TB"/>
      <sheetName val="F.S. Cover"/>
      <sheetName val="Financial Statement"/>
      <sheetName val="Equity Statement"/>
      <sheetName val="Detailed PL &amp; MA"/>
      <sheetName val="TC Cover"/>
      <sheetName val="Tax Sch.2"/>
      <sheetName val="ADJ &amp; Resolution"/>
      <sheetName val="Tax Sch.1"/>
      <sheetName val="Appendix B"/>
      <sheetName val="Appendix C"/>
      <sheetName val="Appendix D"/>
      <sheetName val="Appendix E"/>
      <sheetName val="Change in accounting policy"/>
      <sheetName val="F. A."/>
      <sheetName val="Intangible assets"/>
      <sheetName val="Deferred tax"/>
      <sheetName val="PL to 2 sheets"/>
      <sheetName val="SGS ACQ"/>
      <sheetName val="Summ"/>
      <sheetName val="Fossil_DCF"/>
      <sheetName val="Revenues assumptions "/>
      <sheetName val="drop_down"/>
      <sheetName val="9609추"/>
      <sheetName val="FULBETEIL-A"/>
      <sheetName val="FULFRANCE"/>
      <sheetName val="FUL CITIBANK"/>
      <sheetName val="PLC FRA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drop_down"/>
      <sheetName val="Read Me"/>
      <sheetName val="JUNE"/>
      <sheetName val="July"/>
      <sheetName val="Aug"/>
      <sheetName val="SEP"/>
      <sheetName val="Oct"/>
      <sheetName val="Config"/>
      <sheetName val="CashPoolBal"/>
      <sheetName val="FUL DE P"/>
      <sheetName val="FUL FRA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Index"/>
      <sheetName val="05.01"/>
      <sheetName val="05.02"/>
      <sheetName val="05.03"/>
      <sheetName val="05.04"/>
      <sheetName val="05.05"/>
      <sheetName val="05.06"/>
      <sheetName val="05.07"/>
      <sheetName val="05.08"/>
      <sheetName val="05.09"/>
      <sheetName val="05.10"/>
      <sheetName val="05.10-1"/>
      <sheetName val="Sheet3"/>
      <sheetName val="龙萃"/>
      <sheetName val="资产评估结果分类汇总表 (2)"/>
      <sheetName val="Changes"/>
      <sheetName val="Data"/>
      <sheetName val="Notes"/>
      <sheetName val="GILBPBFGEUR10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Changes"/>
      <sheetName val="param"/>
      <sheetName val="A3 &amp; U 09-01"/>
      <sheetName val="Cover"/>
      <sheetName val="Flash 2001"/>
      <sheetName val="TB"/>
      <sheetName val="GILBPBFG"/>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Identite"/>
      <sheetName val="param"/>
      <sheetName val="ETATONGL"/>
      <sheetName val="Traduction"/>
      <sheetName val="NewProd"/>
      <sheetName val="QTEPNV"/>
      <sheetName val="RESULT"/>
      <sheetName val="COUT"/>
      <sheetName val="Fgx"/>
      <sheetName val="BILAN"/>
      <sheetName val="Dividendes"/>
      <sheetName val="MARGE"/>
      <sheetName val="MAR-SYN"/>
      <sheetName val="MAR-DAT"/>
      <sheetName val="EXTENCPRE"/>
      <sheetName val="CR-BIL-Ratios"/>
      <sheetName val="CollRM"/>
      <sheetName val="drop_down"/>
      <sheetName val="GILBPBGFEUR10M"/>
      <sheetName val="GILBPBGF"/>
      <sheetName val="Chan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Warning"/>
      <sheetName val="VT8"/>
      <sheetName val="CollRM"/>
      <sheetName val="AjustRM"/>
      <sheetName val="CollBT"/>
      <sheetName val="CollBT6"/>
      <sheetName val="AjustBT"/>
      <sheetName val="AjustBT6"/>
      <sheetName val="CollAA"/>
      <sheetName val="AjustAA"/>
      <sheetName val="CollPCPA"/>
      <sheetName val="AjustPCPA"/>
      <sheetName val="CollPC12"/>
      <sheetName val="AjustPC12"/>
      <sheetName val="References"/>
      <sheetName val="Input"/>
      <sheetName val="Config"/>
      <sheetName val="U_price"/>
      <sheetName val="para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徐"/>
      <sheetName val="管理文件清单"/>
      <sheetName val="B"/>
      <sheetName val="封面"/>
      <sheetName val="目录"/>
      <sheetName val="C1"/>
      <sheetName val="C1-1"/>
      <sheetName val="C2"/>
      <sheetName val="C3"/>
      <sheetName val="C4"/>
      <sheetName val="C5"/>
      <sheetName val="E"/>
      <sheetName val="F"/>
      <sheetName val="F1"/>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L1"/>
      <sheetName val="L2"/>
      <sheetName val="M"/>
      <sheetName val="M1"/>
      <sheetName val="N"/>
      <sheetName val="N1"/>
      <sheetName val="O"/>
      <sheetName val="P1"/>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Collateral"/>
      <sheetName val="AFEMAI"/>
      <sheetName val="KEY"/>
      <sheetName val="Vendor Data"/>
      <sheetName val="HireIT0000"/>
      <sheetName val="Changes"/>
      <sheetName val="IBERYESOPLAC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Cover"/>
      <sheetName val="HireIT0000"/>
      <sheetName val="Termination"/>
      <sheetName val="Monthly Change"/>
      <sheetName val="IT0008"/>
      <sheetName val="IT0014"/>
      <sheetName val="IT2010"/>
      <sheetName val="IT0015"/>
      <sheetName val="IT2001"/>
      <sheetName val="Lookupvalues"/>
      <sheetName val="Sheet4"/>
      <sheetName val="ACE-OUT"/>
      <sheetName val="param"/>
      <sheetName val="50PG Sales"/>
      <sheetName val="50PG Margins"/>
      <sheetName val="AFEMAI"/>
      <sheetName val="KE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Mark1"/>
      <sheetName val="Mark2"/>
      <sheetName val="Master"/>
      <sheetName val="Cost"/>
      <sheetName val="Sales "/>
      <sheetName val="Earnings"/>
      <sheetName val="Quarterlies"/>
      <sheetName val="Monthlies"/>
      <sheetName val="Customer"/>
      <sheetName val="Sensitivity"/>
      <sheetName val="ACE-IN"/>
      <sheetName val="ACE-OUT"/>
      <sheetName val="TEJ"/>
      <sheetName val="Introduction"/>
      <sheetName val="AFEMAI"/>
      <sheetName val="KEY"/>
      <sheetName val="details"/>
      <sheetName val="Tearsheet"/>
      <sheetName val="cashflow"/>
      <sheetName val="Controls"/>
      <sheetName val="Cover-p"/>
      <sheetName val="待摊费用明细表"/>
      <sheetName val="CBS"/>
      <sheetName val="Look up datebase"/>
      <sheetName val="CollRM"/>
      <sheetName val="plcitalia"/>
      <sheetName val="invsbpbgbv1"/>
      <sheetName val="HireIT00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Main"/>
      <sheetName val="Report"/>
      <sheetName val="Tracking Input"/>
      <sheetName val="Look up datebase"/>
      <sheetName val="Investment"/>
      <sheetName val="Food delivery"/>
      <sheetName val="In-store, hotel &amp; travel"/>
      <sheetName val="New initiatives"/>
      <sheetName val="Input"/>
      <sheetName val="Info"/>
      <sheetName val="ACE-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Cover page"/>
      <sheetName val="Valuation"/>
      <sheetName val="IS"/>
      <sheetName val="Food delivery"/>
      <sheetName val="In-store, hotel &amp; travel"/>
      <sheetName val="New initiatives"/>
      <sheetName val="BS"/>
      <sheetName val="CFS"/>
      <sheetName val="Data"/>
      <sheetName val="Notes"/>
      <sheetName val="AFEMAI"/>
      <sheetName val="KEY"/>
      <sheetName val="Intercompany Detail"/>
      <sheetName val="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Sheet1"/>
      <sheetName val="Consultants local currency"/>
      <sheetName val="consultants EUR"/>
      <sheetName val="Services_Secr_office"/>
      <sheetName val="TB"/>
      <sheetName val="A-General"/>
      <sheetName val="Config"/>
      <sheetName val="CashPoolBal"/>
      <sheetName val="Database"/>
      <sheetName val="ACE-OUT"/>
      <sheetName val="Instruc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SA -封面"/>
      <sheetName val="SA-0调整分录"/>
      <sheetName val="SA-1收入明细表"/>
      <sheetName val="SA-1-1数量分月"/>
      <sheetName val="SA-1-2收入分月"/>
      <sheetName val="SA-1-3成本分月"/>
      <sheetName val="SA-1-4销售单价分月"/>
      <sheetName val="SA-1-5单位成本分月"/>
      <sheetName val="SA-1-6毛利率分月"/>
      <sheetName val="SA-1-7毛利率分月"/>
      <sheetName val="SA-1-8毛利率分析图"/>
      <sheetName val="SA-1-9单价波动分析"/>
      <sheetName val="（SA-1-9过度表1-不打印）"/>
      <sheetName val="（SA-1-9过度表2-不打印）"/>
      <sheetName val="（SA-1-9过度表3-不打印）"/>
      <sheetName val="SA-2收入、成本"/>
      <sheetName val="SA-3收入确认原则"/>
      <sheetName val="SA-3-1收入的控制测试"/>
      <sheetName val="SA-3-2不相容岗位调查表"/>
      <sheetName val="SA-4分月收入、成本"/>
      <sheetName val="SA-4-1收入-分月"/>
      <sheetName val="SA-5收入同期比较表"/>
      <sheetName val="SA-5-1销售前十名统计"/>
      <sheetName val="SA-5-2销售结构分析"/>
      <sheetName val="SA-6毛利率同业比较"/>
      <sheetName val="SA-7收入测试"/>
      <sheetName val="SA-8收入完整性测试"/>
      <sheetName val="SA-9收入真实性测试"/>
      <sheetName val="SA-10收入与发票核对"/>
      <sheetName val="SA-11报关单核对"/>
      <sheetName val="SA-20主要客户查验"/>
      <sheetName val="SA-30合并关联方"/>
      <sheetName val="SA-30-1关联方交易查验"/>
      <sheetName val="SA-40收入截止性测试"/>
      <sheetName val="SA-50特殊销售行为"/>
      <sheetName val="SA-60披露事项"/>
      <sheetName val="参数"/>
      <sheetName val="AC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Criteria"/>
      <sheetName val="Database"/>
      <sheetName val="Attach"/>
      <sheetName val="J&amp;Q"/>
      <sheetName val="Look up datebase"/>
      <sheetName val="INDEBTEDNESS RFQ4"/>
      <sheetName val="参数"/>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P6500-3"/>
      <sheetName val="账龄"/>
      <sheetName val="03TB"/>
      <sheetName val="02TB"/>
      <sheetName val="01TB"/>
      <sheetName val="Values"/>
      <sheetName val="B"/>
      <sheetName val="J&amp;Q"/>
      <sheetName val="Currency"/>
      <sheetName val="Non-Statistical Sampling"/>
      <sheetName val="Food delivery"/>
      <sheetName val="In-store, hotel &amp; travel"/>
      <sheetName val="New initiatives"/>
      <sheetName val="PL01"/>
      <sheetName val="Data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G2TempSheet"/>
      <sheetName val="Sheet1"/>
      <sheetName val="B_S"/>
    </sheetNames>
    <sheetDataSet>
      <sheetData sheetId="0" refreshError="1"/>
      <sheetData sheetId="1" refreshError="1"/>
      <sheetData sheetId="2" refreshError="1"/>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SmallSamp"/>
      <sheetName val="Check_Spell"/>
      <sheetName val="Targeted Testing-1"/>
      <sheetName val="Sheet1"/>
      <sheetName val="Targeted Testing"/>
      <sheetName val="Non-Statistical Sampling"/>
      <sheetName val="Accept Reject"/>
      <sheetName val="AR Drop Downs"/>
      <sheetName val="ARLU"/>
      <sheetName val="Instructions"/>
      <sheetName val="First Sample Results"/>
      <sheetName val="DropDown"/>
      <sheetName val="Currency"/>
      <sheetName val="Assumptions"/>
      <sheetName val="data"/>
      <sheetName val="IS"/>
      <sheetName val="Welcome"/>
      <sheetName val="Para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New Hire"/>
      <sheetName val="YTD-OnBoard"/>
      <sheetName val="Open Positions"/>
      <sheetName val="Open Position Charts"/>
      <sheetName val="Cycle Tim"/>
      <sheetName val="data"/>
      <sheetName val="Sheet1"/>
      <sheetName val="Consultants local currency"/>
      <sheetName val="Currency"/>
      <sheetName val="Non-Statistical Sampl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Sales(Raw)"/>
      <sheetName val="Sales"/>
      <sheetName val="Sheet1"/>
      <sheetName val="待摊费用明细表"/>
      <sheetName val="Database"/>
      <sheetName val="Total"/>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Sheet1"/>
      <sheetName val="存货审定表"/>
      <sheetName val="审定表"/>
      <sheetName val="待摊费用明细表"/>
      <sheetName val="财务费用明细表"/>
      <sheetName val="2002年万置占用资金利息"/>
      <sheetName val="应付账款余额明细表"/>
      <sheetName val="detail"/>
      <sheetName val="Sheet3"/>
      <sheetName val="Definition"/>
      <sheetName val="J&amp;Q"/>
      <sheetName val="drop_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5.xml><?xml version="1.0" encoding="utf-8"?>
<externalLink xmlns="http://schemas.openxmlformats.org/spreadsheetml/2006/main">
  <externalBook xmlns:r="http://schemas.openxmlformats.org/officeDocument/2006/relationships" r:id="rId1">
    <sheetNames>
      <sheetName val="Definition"/>
      <sheetName val="Delegation"/>
      <sheetName val="R&amp;D"/>
      <sheetName val="3690.HK_Exchange_Sheet"/>
      <sheetName val="3690.HK_Live_Sheet"/>
      <sheetName val="3690.HK_Validation_Sheet"/>
      <sheetName val="Currency"/>
      <sheetName val="Non-Statistical Sampling"/>
      <sheetName val="Chine (Cumu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6.xml><?xml version="1.0" encoding="utf-8"?>
<externalLink xmlns="http://schemas.openxmlformats.org/spreadsheetml/2006/main">
  <externalBook xmlns:r="http://schemas.openxmlformats.org/officeDocument/2006/relationships" r:id="rId1">
    <sheetNames>
      <sheetName val="报表"/>
      <sheetName val="往来核对过程"/>
      <sheetName val="维护"/>
      <sheetName val="Draft"/>
    </sheetNames>
    <sheetDataSet>
      <sheetData sheetId="0" refreshError="1"/>
      <sheetData sheetId="1" refreshError="1"/>
      <sheetData sheetId="2" refreshError="1"/>
      <sheetData sheetId="3" refreshError="1"/>
    </sheetDataSet>
  </externalBook>
</externalLink>
</file>

<file path=xl/externalLinks/externalLink67.xml><?xml version="1.0" encoding="utf-8"?>
<externalLink xmlns="http://schemas.openxmlformats.org/spreadsheetml/2006/main">
  <externalBook xmlns:r="http://schemas.openxmlformats.org/officeDocument/2006/relationships" r:id="rId1">
    <sheetNames>
      <sheetName val="vs. con"/>
      <sheetName val="Assumptions"/>
      <sheetName val="Cash burn projections"/>
      <sheetName val="Valuation - PDIE"/>
      <sheetName val="Our key assumptions"/>
      <sheetName val="3690.HK_Live_Sheet"/>
      <sheetName val="3690.HK_Validation_Sheet"/>
      <sheetName val="3690.HK_Annotation_Sheet"/>
      <sheetName val="3690.HK_Exchange_Sheet_old"/>
      <sheetName val="Revenue of food and platform"/>
      <sheetName val="vs. consensus new"/>
      <sheetName val="vs. guidance"/>
      <sheetName val="Scenario table"/>
      <sheetName val="Earnings scenario table"/>
      <sheetName val="Sensitvity"/>
      <sheetName val="Val-bear"/>
      <sheetName val="Val-bull"/>
      <sheetName val="Users"/>
      <sheetName val="vs. Visible Alpha consensus"/>
      <sheetName val="3690.HK_Exchange_Sheet"/>
      <sheetName val="FS for report"/>
      <sheetName val="Valuation of new initiatives"/>
      <sheetName val="New valuation bull bear"/>
      <sheetName val="Cover page"/>
      <sheetName val="Valuation NEW"/>
      <sheetName val="IS"/>
      <sheetName val="Food delivery"/>
      <sheetName val="In-store, hotel &amp; travel"/>
      <sheetName val="New initiatives"/>
      <sheetName val="Bike assets"/>
      <sheetName val="BS"/>
      <sheetName val="CFS"/>
      <sheetName val="Preview"/>
      <sheetName val="New vs. old"/>
      <sheetName val="Breaking down EBIT"/>
      <sheetName val="Valuation change"/>
      <sheetName val="Hotel booking scenario"/>
      <sheetName val="COVID-19 assumptions"/>
      <sheetName val="FD take rate"/>
      <sheetName val="New summary"/>
      <sheetName val="Sheet1"/>
      <sheetName val="Supporting files"/>
      <sheetName val="IHT comparison"/>
      <sheetName val="Advertising sensitivity"/>
      <sheetName val="Chart3"/>
      <sheetName val="DMW sensitivity"/>
      <sheetName val="Mobike impact"/>
      <sheetName val="China O2O"/>
      <sheetName val="RMS"/>
      <sheetName val="Online marketing"/>
      <sheetName val="Food+plaftorm"/>
      <sheetName val="Global peers"/>
      <sheetName val="Fund raising"/>
      <sheetName val="vs. Taobao"/>
      <sheetName val="vs. consensus"/>
      <sheetName val="First take"/>
      <sheetName val="results summary"/>
      <sheetName val="Front page"/>
      <sheetName val="Change"/>
      <sheetName val="GS-Consensus"/>
      <sheetName val="Shareholding"/>
      <sheetName val="Global market"/>
      <sheetName val="financing license"/>
      <sheetName val="2022 boxes"/>
      <sheetName val="Effectifs Totaux"/>
      <sheetName val="param"/>
      <sheetName val="data"/>
      <sheetName val="3.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68.xml><?xml version="1.0" encoding="utf-8"?>
<externalLink xmlns="http://schemas.openxmlformats.org/spreadsheetml/2006/main">
  <externalBook xmlns:r="http://schemas.openxmlformats.org/officeDocument/2006/relationships" r:id="rId1">
    <sheetNames>
      <sheetName val="Read-me"/>
      <sheetName val="Doctrine"/>
      <sheetName val="Effectifs Totaux"/>
      <sheetName val="Effectifs Internationaux"/>
      <sheetName val="SGHSS"/>
      <sheetName val="Plant 2"/>
      <sheetName val="Plant 3"/>
      <sheetName val="Plant 4"/>
      <sheetName val="Exchange Rate"/>
      <sheetName val="Sheet1"/>
      <sheetName val="Variables"/>
      <sheetName val="Working3"/>
      <sheetName val="Working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9.xml><?xml version="1.0" encoding="utf-8"?>
<externalLink xmlns="http://schemas.openxmlformats.org/spreadsheetml/2006/main">
  <externalBook xmlns:r="http://schemas.openxmlformats.org/officeDocument/2006/relationships" r:id="rId1">
    <sheetNames>
      <sheetName val="For report"/>
      <sheetName val="Consolidation"/>
      <sheetName val="CF"/>
      <sheetName val="Equity Movement"/>
      <sheetName val="VIE"/>
      <sheetName val="US EJE"/>
      <sheetName val="EJE"/>
      <sheetName val="VIE EJE"/>
      <sheetName val="Exchange Rate"/>
      <sheetName val="BJ"/>
      <sheetName val="CR"/>
      <sheetName val="SH"/>
      <sheetName val="SH-BJ"/>
      <sheetName val="CD"/>
      <sheetName val="SJT"/>
      <sheetName val="TJDL"/>
      <sheetName val="TJXRE"/>
      <sheetName val="TJWNS"/>
      <sheetName val="HK"/>
      <sheetName val="CM"/>
      <sheetName val="BJ OJE"/>
      <sheetName val="CR OJE"/>
      <sheetName val="BJ ADJ"/>
      <sheetName val="CR ADJ"/>
      <sheetName val="SH ADJ"/>
      <sheetName val="SH-BJ ADJ"/>
      <sheetName val="CD ADJ"/>
      <sheetName val="SJT ADJ"/>
      <sheetName val="TJDL ADJ"/>
      <sheetName val="TJXRE ADJ"/>
      <sheetName val="TJWNS ADJ"/>
      <sheetName val="HK ADJ US"/>
      <sheetName val="CM ADJ US"/>
      <sheetName val="BJ-Q"/>
      <sheetName val="CR-Q"/>
      <sheetName val="SH-Q"/>
      <sheetName val="SHBJ-Q"/>
      <sheetName val="CD-Q"/>
      <sheetName val="SJT-Q"/>
      <sheetName val="TJDL-Q"/>
      <sheetName val="TJXRE-Q"/>
      <sheetName val="TJWNS-Q"/>
      <sheetName val="HK-Q"/>
      <sheetName val="CM-Q"/>
      <sheetName val="BJ20140331"/>
      <sheetName val="CR20140331"/>
      <sheetName val="SH20140331"/>
      <sheetName val="SHBJ20140331"/>
      <sheetName val="CD20140331"/>
      <sheetName val="SJT20140331"/>
      <sheetName val="TJDL20140331"/>
      <sheetName val="TJXRE20140331"/>
      <sheetName val="TJWNS20140331"/>
      <sheetName val="Data Pool"/>
      <sheetName val="IA"/>
      <sheetName val="SJT Acquisition"/>
      <sheetName val="Tickmark"/>
      <sheetName val="Rate"/>
      <sheetName val="待摊费用明细表"/>
      <sheetName val="Library Procedu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70.xml><?xml version="1.0" encoding="utf-8"?>
<externalLink xmlns="http://schemas.openxmlformats.org/spreadsheetml/2006/main">
  <externalBook xmlns:r="http://schemas.openxmlformats.org/officeDocument/2006/relationships" r:id="rId1">
    <sheetNames>
      <sheetName val="Data Pool"/>
      <sheetName val="For report"/>
      <sheetName val="BS"/>
      <sheetName val="PL"/>
      <sheetName val="ER Data"/>
      <sheetName val="ER Data-1"/>
      <sheetName val="ER Data-2"/>
      <sheetName val="ER Data-3"/>
      <sheetName val="Q&amp;A deck"/>
      <sheetName val="FAR-BS"/>
      <sheetName val="FAR-PL"/>
      <sheetName val="Note"/>
      <sheetName val="查询"/>
      <sheetName val="Net GMV"/>
      <sheetName val="管报分类"/>
      <sheetName val="Consolidation"/>
      <sheetName val="EPS"/>
      <sheetName val="CF-Q1"/>
      <sheetName val="CF-Q2"/>
      <sheetName val="CF-Q3"/>
      <sheetName val="CF-2014"/>
      <sheetName val="CF-PRC"/>
      <sheetName val="Equity Movement"/>
      <sheetName val="Equity RMB"/>
      <sheetName val="APIC"/>
      <sheetName val="VIE披露"/>
      <sheetName val="VIE"/>
      <sheetName val="内部往来矩阵"/>
      <sheetName val="US EJE"/>
      <sheetName val="EJE"/>
      <sheetName val="VIE EJE"/>
      <sheetName val="POP"/>
      <sheetName val="DZD"/>
      <sheetName val="AP贷方"/>
      <sheetName val="Rate"/>
      <sheetName val="BJ"/>
      <sheetName val="CR"/>
      <sheetName val="CRF"/>
      <sheetName val="SH"/>
      <sheetName val="SHBJ"/>
      <sheetName val="SJT"/>
      <sheetName val="CD"/>
      <sheetName val="TJDL"/>
      <sheetName val="TJWNS"/>
      <sheetName val="TJXRE"/>
      <sheetName val="DR"/>
      <sheetName val="ZZ"/>
      <sheetName val="YX"/>
      <sheetName val="SZ"/>
      <sheetName val="KS"/>
      <sheetName val="WX"/>
      <sheetName val="CDF"/>
      <sheetName val="GZF"/>
      <sheetName val="SYF"/>
      <sheetName val="TJHFD"/>
      <sheetName val="ZZHFD"/>
      <sheetName val="CMATE"/>
      <sheetName val="HKHT"/>
      <sheetName val="HK"/>
      <sheetName val="CM"/>
      <sheetName val="BJ OJE"/>
      <sheetName val="CR OJE"/>
      <sheetName val="SH OJE"/>
      <sheetName val="CD OJE"/>
      <sheetName val="CM OJE"/>
      <sheetName val="BJ ADJ"/>
      <sheetName val="CR ADJ"/>
      <sheetName val="CRF ADJ"/>
      <sheetName val="SH ADJ"/>
      <sheetName val="SH-BJ ADJ"/>
      <sheetName val="SJT ADJ"/>
      <sheetName val="CD ADJ"/>
      <sheetName val="TJDL ADJ"/>
      <sheetName val="TJXRE ADJ"/>
      <sheetName val="TJWNS ADJ"/>
      <sheetName val="DR ADJ"/>
      <sheetName val="SZ ADJ"/>
      <sheetName val="ZZWNS ADJ"/>
      <sheetName val="YX ADJ"/>
      <sheetName val="CMATE ADJ"/>
      <sheetName val="HKHT ADJ US"/>
      <sheetName val="HK ADJ US"/>
      <sheetName val="CM ADJ US"/>
      <sheetName val="BJ-Q"/>
      <sheetName val="CR-Q"/>
      <sheetName val="CRF-Q"/>
      <sheetName val="SH-Q"/>
      <sheetName val="SHBJ-Q"/>
      <sheetName val="SJT-Q"/>
      <sheetName val="CD-Q"/>
      <sheetName val="TJDL-Q"/>
      <sheetName val="TJXRE-Q"/>
      <sheetName val="TJWNS-Q"/>
      <sheetName val="ZZWNS-Q"/>
      <sheetName val="DR-Q"/>
      <sheetName val="YX-Q"/>
      <sheetName val="SZ-Q"/>
      <sheetName val="KS-Q"/>
      <sheetName val="WX-Q"/>
      <sheetName val="CDF-Q"/>
      <sheetName val="GZF-Q"/>
      <sheetName val="SYF-Q"/>
      <sheetName val="TJHFD-Q"/>
      <sheetName val="ZZHFD-Q"/>
      <sheetName val="HKHT-Q"/>
      <sheetName val="HK-Q"/>
      <sheetName val="CM-Q"/>
      <sheetName val="BJ20141231"/>
      <sheetName val="CR20141231"/>
      <sheetName val="CRF20141231"/>
      <sheetName val="SJT20141231"/>
      <sheetName val="SH20141231"/>
      <sheetName val="SHBJ20141231"/>
      <sheetName val="CD20141231"/>
      <sheetName val="SZ20141231"/>
      <sheetName val="KS20141231"/>
      <sheetName val="WX20141231"/>
      <sheetName val="CDF20141231"/>
      <sheetName val="GZF20141231"/>
      <sheetName val="SYF20141231"/>
      <sheetName val="TJDL20141231"/>
      <sheetName val="TJXRE20141231"/>
      <sheetName val="TJWNS20141231"/>
      <sheetName val="ZZWNS20141231"/>
      <sheetName val="DR20141231"/>
      <sheetName val="YX20141231"/>
      <sheetName val="TJHFD20141231"/>
      <sheetName val="ZZHFD20141231"/>
      <sheetName val="HKHT20141231"/>
      <sheetName val="BJ20140930"/>
      <sheetName val="BJ20140630"/>
      <sheetName val="CR20140930"/>
      <sheetName val="CR20140630"/>
      <sheetName val="CRF20140930"/>
      <sheetName val="CRF20140630"/>
      <sheetName val="SH20140930"/>
      <sheetName val="SH20140630"/>
      <sheetName val="SHBJ20140930"/>
      <sheetName val="SHBJ20140630"/>
      <sheetName val="SJT20140930"/>
      <sheetName val="SJT20140630"/>
      <sheetName val="CD20140930"/>
      <sheetName val="CD20140630"/>
      <sheetName val="TJDL20140930"/>
      <sheetName val="TJDL20140630"/>
      <sheetName val="TJXRE20140930"/>
      <sheetName val="TJXRE20140630"/>
      <sheetName val="BJ20140331"/>
      <sheetName val="CR20140331"/>
      <sheetName val="SH20140331"/>
      <sheetName val="SHBJ20140331"/>
      <sheetName val="CD20140331"/>
      <sheetName val="SJT20140331"/>
      <sheetName val="TJDL20140331"/>
      <sheetName val="TJXRE20140331"/>
      <sheetName val="TJWNS20140331"/>
      <sheetName val="TJWNS20140930"/>
      <sheetName val="TJWNS20140630"/>
      <sheetName val="ZZWNS20140930"/>
      <sheetName val="YX20140930"/>
      <sheetName val="DR20140930"/>
      <sheetName val="HKHT20140930"/>
      <sheetName val="HKHT20140630"/>
      <sheetName val="IA"/>
      <sheetName val="SJT Acquisition"/>
      <sheetName val="Tickmark"/>
      <sheetName val="Definition"/>
      <sheetName val="Library Procedu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Set>
  </externalBook>
</externalLink>
</file>

<file path=xl/externalLinks/externalLink71.xml><?xml version="1.0" encoding="utf-8"?>
<externalLink xmlns="http://schemas.openxmlformats.org/spreadsheetml/2006/main">
  <externalBook xmlns:r="http://schemas.openxmlformats.org/officeDocument/2006/relationships" r:id="rId1">
    <sheetNames>
      <sheetName val="Data Pool"/>
      <sheetName val="Note"/>
      <sheetName val="ER Data"/>
      <sheetName val="ER Data-1"/>
      <sheetName val="ER Data-2"/>
      <sheetName val="ER Data-3"/>
      <sheetName val="BS"/>
      <sheetName val="PL"/>
      <sheetName val="For report"/>
      <sheetName val="Q&amp;A Deck"/>
      <sheetName val="EPS"/>
      <sheetName val="CF2015Q1"/>
      <sheetName val="CF-PRC"/>
      <sheetName val="Equity Movement"/>
      <sheetName val="Net GMV"/>
      <sheetName val="管报分类"/>
      <sheetName val="Consolidation"/>
      <sheetName val="查询"/>
      <sheetName val="US EJE"/>
      <sheetName val="EJE"/>
      <sheetName val="AP贷方"/>
      <sheetName val="Rate"/>
      <sheetName val="BJ"/>
      <sheetName val="CR"/>
      <sheetName val="CRF"/>
      <sheetName val="SJT"/>
      <sheetName val="SH"/>
      <sheetName val="SHBJ"/>
      <sheetName val="TJBJ"/>
      <sheetName val="WFJ"/>
      <sheetName val="CD"/>
      <sheetName val="TJDL"/>
      <sheetName val="TJXRE"/>
      <sheetName val="TJWNS"/>
      <sheetName val="DR"/>
      <sheetName val="ZZWNS"/>
      <sheetName val="YX"/>
      <sheetName val="SZKJ"/>
      <sheetName val="SZJS"/>
      <sheetName val="KS"/>
      <sheetName val="WX"/>
      <sheetName val="CDF"/>
      <sheetName val="GZF"/>
      <sheetName val="SYF"/>
      <sheetName val="TJHFD"/>
      <sheetName val="ZZHFD"/>
      <sheetName val="HKHT"/>
      <sheetName val="CMATE"/>
      <sheetName val="HK"/>
      <sheetName val="CM"/>
      <sheetName val="BJ ADJ"/>
      <sheetName val="CR ADJ"/>
      <sheetName val="CRF ADJ"/>
      <sheetName val="WFJ ADJ"/>
      <sheetName val="SJT ADJ"/>
      <sheetName val="SH ADJ"/>
      <sheetName val="SHBJ ADJ"/>
      <sheetName val="CD ADJ"/>
      <sheetName val="TJDL ADJ"/>
      <sheetName val="TJXRE ADJ"/>
      <sheetName val="TJWNS ADJ"/>
      <sheetName val="SZKJ ADJ"/>
      <sheetName val="ZZWNS ADJ"/>
      <sheetName val="ZZHFD ADJ"/>
      <sheetName val="YX ADJ"/>
      <sheetName val="SZJS ADJ"/>
      <sheetName val="SYF ADJ"/>
      <sheetName val="CMATE ADJ"/>
      <sheetName val="HKHT ADJ US"/>
      <sheetName val="HK ADJ US"/>
      <sheetName val="CM ADJ US"/>
      <sheetName val="BJ-Q"/>
      <sheetName val="CR-Q"/>
      <sheetName val="CRF-Q"/>
      <sheetName val="SJT-Q"/>
      <sheetName val="SH-Q"/>
      <sheetName val="SHBJ-Q"/>
      <sheetName val="TJBJ-Q"/>
      <sheetName val="WFJ-Q"/>
      <sheetName val="CD-Q"/>
      <sheetName val="TJDL-Q"/>
      <sheetName val="TJXRE-Q"/>
      <sheetName val="TJWNS-Q"/>
      <sheetName val="ZZWNS-Q"/>
      <sheetName val="DR-Q"/>
      <sheetName val="YX-Q"/>
      <sheetName val="SZKJ-Q"/>
      <sheetName val="SZJS-Q"/>
      <sheetName val="KS-Q"/>
      <sheetName val="WX-Q"/>
      <sheetName val="CDF-Q"/>
      <sheetName val="GZF-Q"/>
      <sheetName val="SYF-Q"/>
      <sheetName val="TJHFD-Q"/>
      <sheetName val="ZZHFD-Q"/>
      <sheetName val="HKHT-Q"/>
      <sheetName val="HK-Q-1"/>
      <sheetName val="CM-Q-1"/>
      <sheetName val="CMATE-Q"/>
      <sheetName val="HK-Q"/>
      <sheetName val="CM-Q"/>
      <sheetName val="BJ20150331"/>
      <sheetName val="CR20150331"/>
      <sheetName val="CRF20150331"/>
      <sheetName val="SJT20150331"/>
      <sheetName val="SH20150331"/>
      <sheetName val="SHBJ20150331"/>
      <sheetName val="WFJ20150331"/>
      <sheetName val="TJBJ20150331"/>
      <sheetName val="CD20150331"/>
      <sheetName val="TJDL20150331"/>
      <sheetName val="TJXRE20150331"/>
      <sheetName val="TJWNS20150331"/>
      <sheetName val="ZZWNS20150331"/>
      <sheetName val="DR20150331"/>
      <sheetName val="YX20150331"/>
      <sheetName val="SZKJ20150331"/>
      <sheetName val="KS20150331"/>
      <sheetName val="WX20150331"/>
      <sheetName val="SZJS20150331"/>
      <sheetName val="CDF20150331"/>
      <sheetName val="GZF20150331"/>
      <sheetName val="SYF20150331"/>
      <sheetName val="TJHFD20150331"/>
      <sheetName val="ZZHFD20150331"/>
      <sheetName val="HKHT20150331"/>
      <sheetName val="HK20150331"/>
      <sheetName val="CMATE20150331"/>
      <sheetName val="CM20150331"/>
      <sheetName val="IA"/>
      <sheetName val="SJT Acquisition"/>
      <sheetName val="Tickmark"/>
      <sheetName val="3690.HK_Exchange_Sheet"/>
      <sheetName val="3690.HK_Live_Sheet"/>
      <sheetName val="3690.HK_Validation_Sheet"/>
      <sheetName val="Library Procedu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72.xml><?xml version="1.0" encoding="utf-8"?>
<externalLink xmlns="http://schemas.openxmlformats.org/spreadsheetml/2006/main">
  <externalBook xmlns:r="http://schemas.openxmlformats.org/officeDocument/2006/relationships" r:id="rId1">
    <sheetNames>
      <sheetName val="Data Pool"/>
      <sheetName val="Note"/>
      <sheetName val="ER Data"/>
      <sheetName val="ER Data-1"/>
      <sheetName val="ER Data-2"/>
      <sheetName val="ER Data-3"/>
      <sheetName val="BS"/>
      <sheetName val="PL"/>
      <sheetName val="For report"/>
      <sheetName val="Q&amp;A Deck"/>
      <sheetName val="EPS"/>
      <sheetName val="CF2015Q1"/>
      <sheetName val="CF2015Q2"/>
      <sheetName val="CF-PRC"/>
      <sheetName val="Equity Movement"/>
      <sheetName val="Net GMV"/>
      <sheetName val="管报分类"/>
      <sheetName val="Consolidation"/>
      <sheetName val="查询"/>
      <sheetName val="US EJE"/>
      <sheetName val="EJE"/>
      <sheetName val="AP贷方"/>
      <sheetName val="Rate"/>
      <sheetName val="05-BJ"/>
      <sheetName val="01-CR"/>
      <sheetName val="02-CRF"/>
      <sheetName val="04-SJT"/>
      <sheetName val="06-SH"/>
      <sheetName val="07-SHQM"/>
      <sheetName val="08-WFJ"/>
      <sheetName val="09-CD"/>
      <sheetName val="11-TJXRE"/>
      <sheetName val="12-XREHD"/>
      <sheetName val="13-TJDL"/>
      <sheetName val="14-DLHD"/>
      <sheetName val="15-TJWNS"/>
      <sheetName val="16-WSY"/>
      <sheetName val="17-WKS"/>
      <sheetName val="18-WGZ"/>
      <sheetName val="19-WCD"/>
      <sheetName val="20-WBJ"/>
      <sheetName val="21-ZZWNS"/>
      <sheetName val="22-DR"/>
      <sheetName val="23-YX"/>
      <sheetName val="24-SZKJ"/>
      <sheetName val="25-WX"/>
      <sheetName val="26-TJHFD"/>
      <sheetName val="27-ZZHFD"/>
      <sheetName val="28-HFDZH"/>
      <sheetName val="29-SZJS"/>
      <sheetName val="30-SHYP"/>
      <sheetName val="32-NB"/>
      <sheetName val="33-CM"/>
      <sheetName val="34-HK"/>
      <sheetName val="35-HKHT"/>
      <sheetName val="36-CMATE"/>
      <sheetName val="37-Super"/>
      <sheetName val="BJ ADJ"/>
      <sheetName val="CR ADJ"/>
      <sheetName val="CRF ADJ"/>
      <sheetName val="WFJ ADJ"/>
      <sheetName val="SJT ADJ"/>
      <sheetName val="SH ADJ"/>
      <sheetName val="SHQM ADJ"/>
      <sheetName val="CD ADJ"/>
      <sheetName val="TJDL ADJ"/>
      <sheetName val="TJXRE ADJ"/>
      <sheetName val="TJWNS ADJ"/>
      <sheetName val="SZKJ ADJ"/>
      <sheetName val="ZZWNS ADJ"/>
      <sheetName val="ZZHFD ADJ"/>
      <sheetName val="YX ADJ"/>
      <sheetName val="SZJS ADJ"/>
      <sheetName val="WSY ADJ"/>
      <sheetName val="CMATE ADJ"/>
      <sheetName val="HKHT ADJ US"/>
      <sheetName val="HK ADJ US"/>
      <sheetName val="CM ADJ US"/>
      <sheetName val="BJ-Q"/>
      <sheetName val="CR-Q"/>
      <sheetName val="CRF-Q"/>
      <sheetName val="SJT-Q"/>
      <sheetName val="SH-Q"/>
      <sheetName val="SHQM-Q"/>
      <sheetName val="WBJ-Q"/>
      <sheetName val="WFJ-Q"/>
      <sheetName val="CD-Q"/>
      <sheetName val="TJDL-Q"/>
      <sheetName val="DLHD-Q"/>
      <sheetName val="TJXRE-Q"/>
      <sheetName val="XREHD-Q"/>
      <sheetName val="TJWNS-Q"/>
      <sheetName val="ZZWNS-Q"/>
      <sheetName val="DR-Q"/>
      <sheetName val="YX-Q"/>
      <sheetName val="SZKJ-Q"/>
      <sheetName val="SZJS-Q"/>
      <sheetName val="KS-Q"/>
      <sheetName val="NB-Q"/>
      <sheetName val="WX-Q"/>
      <sheetName val="CDF-Q"/>
      <sheetName val="GZF-Q"/>
      <sheetName val="SYF-Q"/>
      <sheetName val="TJHFD-Q"/>
      <sheetName val="ZZHFD-Q"/>
      <sheetName val="ZZHFDZH-Q"/>
      <sheetName val="SHYP-Q"/>
      <sheetName val="HKHT-Q"/>
      <sheetName val="HK-Q"/>
      <sheetName val="CM-Q"/>
      <sheetName val="CMATE-Q"/>
      <sheetName val="HK-Q 2014"/>
      <sheetName val="CM-Q 2014"/>
      <sheetName val="BJ20150331"/>
      <sheetName val="CR20150331"/>
      <sheetName val="CRF20150331"/>
      <sheetName val="SJT20150331"/>
      <sheetName val="SH20150331"/>
      <sheetName val="SHBJ20150331"/>
      <sheetName val="WFJ20150331"/>
      <sheetName val="WBJ20150331"/>
      <sheetName val="CD20150331"/>
      <sheetName val="TJDL20150331"/>
      <sheetName val="TJXRE20150331"/>
      <sheetName val="TJWNS20150331"/>
      <sheetName val="ZZWNS20150331"/>
      <sheetName val="DR20150331"/>
      <sheetName val="YX20150331"/>
      <sheetName val="SZKJ20150331"/>
      <sheetName val="KS20150331"/>
      <sheetName val="WX20150331"/>
      <sheetName val="SZJS20150331"/>
      <sheetName val="CDF20150331"/>
      <sheetName val="GZF20150331"/>
      <sheetName val="SYF20150331"/>
      <sheetName val="TJHFD20150331"/>
      <sheetName val="ZZHFD20150331"/>
      <sheetName val="HKHT20150331"/>
      <sheetName val="HK20150331"/>
      <sheetName val="CMATE20150331"/>
      <sheetName val="CM20150331"/>
      <sheetName val="IA"/>
      <sheetName val="BJ20150630"/>
      <sheetName val="CR20150630"/>
      <sheetName val="CRF20150630"/>
      <sheetName val="SJT20150630"/>
      <sheetName val="SH20150630"/>
      <sheetName val="SHQM20150630"/>
      <sheetName val="20150630"/>
      <sheetName val="WFJ20150630"/>
      <sheetName val="CD20150630"/>
      <sheetName val="TJDL20150630"/>
      <sheetName val="DLHD20150630"/>
      <sheetName val="TJXRE20150630"/>
      <sheetName val="XREHD20150630"/>
      <sheetName val="TJWNS20150630"/>
      <sheetName val="TJBJF20150603"/>
      <sheetName val="ZZWNS20150630"/>
      <sheetName val="DR20150630"/>
      <sheetName val="YX20150630"/>
      <sheetName val="SHYP20150630"/>
      <sheetName val="SZKJ20150630"/>
      <sheetName val="SZJS20150630"/>
      <sheetName val="KS20150630"/>
      <sheetName val="WX20150630"/>
      <sheetName val="CDF20150630"/>
      <sheetName val="GZF20150630"/>
      <sheetName val="SYF20150630"/>
      <sheetName val="TJHFD20150630"/>
      <sheetName val="NB20150630"/>
      <sheetName val="ZZHFD20150630"/>
      <sheetName val="ZZHFDZH20150630"/>
      <sheetName val="HK20150630"/>
      <sheetName val="CM20150630"/>
      <sheetName val="HKHT20150630"/>
      <sheetName val="CMATE20150630"/>
      <sheetName val="Tickmark"/>
      <sheetName val="Effectifs Totaux"/>
      <sheetName val="Library Procedu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73.xml><?xml version="1.0" encoding="utf-8"?>
<externalLink xmlns="http://schemas.openxmlformats.org/spreadsheetml/2006/main">
  <externalBook xmlns:r="http://schemas.openxmlformats.org/officeDocument/2006/relationships" r:id="rId1">
    <sheetNames>
      <sheetName val="Data Pool"/>
      <sheetName val="For report"/>
      <sheetName val="Consolidation "/>
      <sheetName val="账面数"/>
      <sheetName val="内部交易抵消核对"/>
      <sheetName val="查询"/>
      <sheetName val="RMB EJE"/>
      <sheetName val="Rate"/>
      <sheetName val="05-BJ"/>
      <sheetName val="01-CR"/>
      <sheetName val="02-CRF"/>
      <sheetName val="04-SJT"/>
      <sheetName val="06-SH"/>
      <sheetName val="07-SHQM"/>
      <sheetName val="08-WFJ"/>
      <sheetName val="09-CD"/>
      <sheetName val="10-CDHD"/>
      <sheetName val="11-TJXRE"/>
      <sheetName val="12-XREHD"/>
      <sheetName val="13-TJDL"/>
      <sheetName val="14-DLHD"/>
      <sheetName val="15-TJWNS"/>
      <sheetName val="16-WSY"/>
      <sheetName val="17-WKS"/>
      <sheetName val="18-WGZ"/>
      <sheetName val="19-WCD"/>
      <sheetName val="20-WBJ"/>
      <sheetName val="21-WHD"/>
      <sheetName val="22-ZZWNS"/>
      <sheetName val="23-DR"/>
      <sheetName val="24-YX"/>
      <sheetName val="45-YXBJ"/>
      <sheetName val="25-SZKJ"/>
      <sheetName val="26-WX"/>
      <sheetName val="33-SZJS"/>
      <sheetName val="34-SHYP"/>
      <sheetName val="35-HZYP"/>
      <sheetName val="36-ZH"/>
      <sheetName val="44-SZHB"/>
      <sheetName val="27-TJHFD"/>
      <sheetName val="28-ZZHFD"/>
      <sheetName val="29-HFDZH"/>
      <sheetName val="30-HFDHZ"/>
      <sheetName val="31-HFDNB"/>
      <sheetName val="32-HFDSZ"/>
      <sheetName val="41-NBHFD"/>
      <sheetName val="46-CMBJ"/>
      <sheetName val="37-NB"/>
      <sheetName val="38-CM"/>
      <sheetName val="39-HK"/>
      <sheetName val="47-CDYX"/>
      <sheetName val="48-EVAN"/>
      <sheetName val="40-HKHT"/>
      <sheetName val="42-CMATE"/>
      <sheetName val="43-Super"/>
      <sheetName val="BJ ADJ"/>
      <sheetName val="CR ADJ"/>
      <sheetName val="CRF ADJ"/>
      <sheetName val="WFJ ADJ"/>
      <sheetName val="SH ADJ"/>
      <sheetName val="SHQM ADJ"/>
      <sheetName val="CD ADJ"/>
      <sheetName val="TJXRE ADJ"/>
      <sheetName val="TJDL ADJ"/>
      <sheetName val="TJWNS ADJ"/>
      <sheetName val="ZZWNS ADJ"/>
      <sheetName val="SZKJ ADJ"/>
      <sheetName val="SHYP ADJ"/>
      <sheetName val="HZYP ADJ"/>
      <sheetName val="ZZHFD ADJ"/>
      <sheetName val="HFDZH ADJ"/>
      <sheetName val="HFDSZ ADJ"/>
      <sheetName val="YX ADJ"/>
      <sheetName val="SZJS ADJ"/>
      <sheetName val="NB ADJ"/>
      <sheetName val="WCD ADJ"/>
      <sheetName val="WSY ADJ"/>
      <sheetName val="CMATE ADJ"/>
      <sheetName val="CMBJ ADJ"/>
      <sheetName val="Super ADJ"/>
      <sheetName val="HKHT ADJ"/>
      <sheetName val="HK ADJ US"/>
      <sheetName val="CM ADJ US"/>
      <sheetName val="01-CR20160531"/>
      <sheetName val="02-CRF20160531"/>
      <sheetName val="04-SJT20160531"/>
      <sheetName val="05-BJ20160531"/>
      <sheetName val="06-SH20160531"/>
      <sheetName val="07-SHQM20160531"/>
      <sheetName val="08-WFJ20160531"/>
      <sheetName val="09-CD20160531"/>
      <sheetName val="10-CDHD20160531"/>
      <sheetName val="11-TJXRE20160531"/>
      <sheetName val="12-XREHD20160531"/>
      <sheetName val="13-TJDL20160531"/>
      <sheetName val="14-DLHD20160531"/>
      <sheetName val="15-TJWNS20160531"/>
      <sheetName val="16-WSY20160531"/>
      <sheetName val="17-WKS20160531"/>
      <sheetName val="18-WGZ20160531"/>
      <sheetName val="19-WCD20160531"/>
      <sheetName val="20-WBJ20160531"/>
      <sheetName val="21-WHD20160531"/>
      <sheetName val="22-ZZWNSZZ20160531"/>
      <sheetName val="22-ZZWNSSZ20160531"/>
      <sheetName val="23-DR20160531"/>
      <sheetName val="24-YX20160531"/>
      <sheetName val="25-SZKJ20160531"/>
      <sheetName val="26-WX20160531"/>
      <sheetName val="27-TJHFD20160531"/>
      <sheetName val="28-ZZHFDZZ20160531"/>
      <sheetName val="28-ZZHFDSZ20160531"/>
      <sheetName val="29-HFDZH20160531"/>
      <sheetName val="30-HFDHZ20160531"/>
      <sheetName val="31-HFDNB20160531"/>
      <sheetName val="32-HFDSZ20160531"/>
      <sheetName val="41-NBHFD20160531"/>
      <sheetName val="33-SZJS20160531"/>
      <sheetName val="34-SHYP20160531"/>
      <sheetName val="35-HZYP20160531"/>
      <sheetName val="36-ZH20160531"/>
      <sheetName val="37-NB20160531"/>
      <sheetName val="38-CM20160531"/>
      <sheetName val="39-HK20160531"/>
      <sheetName val="40-HKHT20160531"/>
      <sheetName val="42-CMATE20160531"/>
      <sheetName val="43-Super20160531"/>
      <sheetName val="44-SZHB20160531"/>
      <sheetName val="45-YXBJ20160531"/>
      <sheetName val="47-CDYX20160531"/>
      <sheetName val="48-EVAN20160531"/>
      <sheetName val="Exchange Rate"/>
      <sheetName val="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74.xml><?xml version="1.0" encoding="utf-8"?>
<externalLink xmlns="http://schemas.openxmlformats.org/spreadsheetml/2006/main">
  <externalBook xmlns:r="http://schemas.openxmlformats.org/officeDocument/2006/relationships" r:id="rId1">
    <sheetNames>
      <sheetName val="Data Pool"/>
      <sheetName val="Note"/>
      <sheetName val="ER Data"/>
      <sheetName val="ER Data-1"/>
      <sheetName val="ER Data-2"/>
      <sheetName val="ER Data-3"/>
      <sheetName val="PL"/>
      <sheetName val="BS"/>
      <sheetName val="EPS"/>
      <sheetName val="For report"/>
      <sheetName val="CF2015Q1"/>
      <sheetName val="CF2015Q2"/>
      <sheetName val="CF2015Q3"/>
      <sheetName val="CF-PRC"/>
      <sheetName val="Equity Movement"/>
      <sheetName val="Net GMV"/>
      <sheetName val="Q&amp;A Deck"/>
      <sheetName val="分类"/>
      <sheetName val="Consolidation-RMB"/>
      <sheetName val="Consolidation"/>
      <sheetName val="Consolidation - Detail"/>
      <sheetName val="查询"/>
      <sheetName val="US EJE"/>
      <sheetName val="RMB EJE"/>
      <sheetName val="AP贷方"/>
      <sheetName val="Rate"/>
      <sheetName val="05-BJ"/>
      <sheetName val="01-CR"/>
      <sheetName val="02-CRF"/>
      <sheetName val="04-SJT"/>
      <sheetName val="06-SH"/>
      <sheetName val="07-SHQM"/>
      <sheetName val="08-WFJ"/>
      <sheetName val="09-CD"/>
      <sheetName val="10-CDHD"/>
      <sheetName val="11-TJXRE"/>
      <sheetName val="12-XREHD"/>
      <sheetName val="13-TJDL"/>
      <sheetName val="14-DLHD"/>
      <sheetName val="15-TJWNS"/>
      <sheetName val="16-WSY"/>
      <sheetName val="17-WKS"/>
      <sheetName val="18-WGZ"/>
      <sheetName val="19-WCD"/>
      <sheetName val="20-WBJ"/>
      <sheetName val="21-WHD"/>
      <sheetName val="22-ZZWNS"/>
      <sheetName val="23-DR"/>
      <sheetName val="24-YX"/>
      <sheetName val="25-SZKJ"/>
      <sheetName val="26-WX"/>
      <sheetName val="27-TJHFD"/>
      <sheetName val="28-ZZHFD"/>
      <sheetName val="29-HFDZH"/>
      <sheetName val="30-HFDHZ"/>
      <sheetName val="31-HFDNB"/>
      <sheetName val="32-HFDSZ"/>
      <sheetName val="33-SZJS"/>
      <sheetName val="34-SHYP"/>
      <sheetName val="35-HZYP"/>
      <sheetName val="36-ZH"/>
      <sheetName val="37-NB"/>
      <sheetName val="38-CM"/>
      <sheetName val="39-HK"/>
      <sheetName val="40-HKHT"/>
      <sheetName val="42-CMATE"/>
      <sheetName val="43-Super"/>
      <sheetName val="BJ ADJ"/>
      <sheetName val="CR ADJ"/>
      <sheetName val="CRF ADJ"/>
      <sheetName val="WFJ ADJ"/>
      <sheetName val="SJT ADJ"/>
      <sheetName val="SH ADJ"/>
      <sheetName val="SHQM ADJ"/>
      <sheetName val="CD ADJ"/>
      <sheetName val="TJDL ADJ"/>
      <sheetName val="TJXRE ADJ"/>
      <sheetName val="TJWNS ADJ"/>
      <sheetName val="SZKJ ADJ"/>
      <sheetName val="ZZWNS ADJ"/>
      <sheetName val="HZYP ADJ"/>
      <sheetName val="ZZHFD ADJ"/>
      <sheetName val="HFDZH ADJ"/>
      <sheetName val="HFDSZ ADJ"/>
      <sheetName val="YX ADJ"/>
      <sheetName val="SZJS ADJ"/>
      <sheetName val="NB ADJ"/>
      <sheetName val="WSY ADJ"/>
      <sheetName val="CMATE ADJ"/>
      <sheetName val="Super ADJ"/>
      <sheetName val="HKHT ADJ US"/>
      <sheetName val="HK ADJ US"/>
      <sheetName val="CM ADJ US"/>
      <sheetName val="05-BJ-Q"/>
      <sheetName val="01-CR-Q"/>
      <sheetName val="02-CRF-Q"/>
      <sheetName val="04-SJT-Q"/>
      <sheetName val="06-SH-Q"/>
      <sheetName val="07-SHQM-Q"/>
      <sheetName val="08-WFJ-Q"/>
      <sheetName val="09-CD-Q"/>
      <sheetName val="10-CDHD-Q"/>
      <sheetName val="11-TJXRE-Q"/>
      <sheetName val="12-XREHD-Q"/>
      <sheetName val="13-TJDL-Q"/>
      <sheetName val="14-DLHD-Q"/>
      <sheetName val="15-TJWNS-Q"/>
      <sheetName val="16-WSY-Q"/>
      <sheetName val="17-WKS-Q"/>
      <sheetName val="18-WGZ-Q"/>
      <sheetName val="19-WCD-Q"/>
      <sheetName val="20-WBJ-Q"/>
      <sheetName val="21-WHD-Q"/>
      <sheetName val="22-ZZWNS-Q"/>
      <sheetName val="23-DR-Q"/>
      <sheetName val="24-YX-Q"/>
      <sheetName val="25-SZKJ-Q"/>
      <sheetName val="26-WX-Q"/>
      <sheetName val="27-TJHFD-Q"/>
      <sheetName val="28-ZZHFD-Q"/>
      <sheetName val="29-HFDZH-Q"/>
      <sheetName val="30-HFDHZ-Q"/>
      <sheetName val="31-HFDNB-Q"/>
      <sheetName val="32-HFDSZ-Q"/>
      <sheetName val="33-SZJS-Q"/>
      <sheetName val="34-SHYP-Q"/>
      <sheetName val="35-HZYP-Q"/>
      <sheetName val="36-ZH-Q"/>
      <sheetName val="37-NB-Q"/>
      <sheetName val="38-CM-Q"/>
      <sheetName val="39-HK-Q"/>
      <sheetName val="40-HKHT-Q"/>
      <sheetName val="42-CMATE-Q"/>
      <sheetName val="43-Super-Q"/>
      <sheetName val="HK-Q 2014"/>
      <sheetName val="CM-Q 2014"/>
      <sheetName val="TJHFD20150331"/>
      <sheetName val="ZZHFD20150331"/>
      <sheetName val="HKHT20150331"/>
      <sheetName val="HK20150331"/>
      <sheetName val="CMATE20150331"/>
      <sheetName val="CM20150331"/>
      <sheetName val="IA"/>
      <sheetName val="01-CR20150930"/>
      <sheetName val="BJ20150630"/>
      <sheetName val="CR20150630"/>
      <sheetName val="CRF20150630"/>
      <sheetName val="SJT20150630"/>
      <sheetName val="SHQM20150630"/>
      <sheetName val="WFJ20150630"/>
      <sheetName val="CD20150630"/>
      <sheetName val="TJDL20150630"/>
      <sheetName val="DLHD20150630"/>
      <sheetName val="TJXRE20150630"/>
      <sheetName val="XREHD20150630"/>
      <sheetName val="TJWNS20150630"/>
      <sheetName val="TJBJF20150603"/>
      <sheetName val="ZZWNS20150630"/>
      <sheetName val="DR20150630"/>
      <sheetName val="YX20150630"/>
      <sheetName val="SHYP20150630"/>
      <sheetName val="SZKJ20150630"/>
      <sheetName val="SZJS20150630"/>
      <sheetName val="KS20150630"/>
      <sheetName val="WX20150630"/>
      <sheetName val="CDF20150630"/>
      <sheetName val="GZF20150630"/>
      <sheetName val="SYF20150630"/>
      <sheetName val="TJHFD20150630"/>
      <sheetName val="NB20150630"/>
      <sheetName val="ZZHFD20150630"/>
      <sheetName val="ZZHFDZH20150630"/>
      <sheetName val="HK20150630"/>
      <sheetName val="CM20150630"/>
      <sheetName val="CMATE20150630"/>
      <sheetName val="02-CRF20150930"/>
      <sheetName val="04-SJT20150930"/>
      <sheetName val="05-BJ20150930"/>
      <sheetName val="06-SH20150930"/>
      <sheetName val="07-SHQM20150930"/>
      <sheetName val="08-WFJ20150930"/>
      <sheetName val="09-CD20150930"/>
      <sheetName val="10-CDHD20150930"/>
      <sheetName val="11-TJXRE20150930"/>
      <sheetName val="12-XREHD20150930"/>
      <sheetName val="13-TJDL20150930"/>
      <sheetName val="14-DLHD20150930"/>
      <sheetName val="15-TJWNS20150930"/>
      <sheetName val="16-WSY20150930"/>
      <sheetName val="17-WKS20150930"/>
      <sheetName val="18-WGZ20150930"/>
      <sheetName val="19-WCD20150930"/>
      <sheetName val="20-WBJ20150930"/>
      <sheetName val="21-WHD20150930"/>
      <sheetName val="22-ZZWNS20150930"/>
      <sheetName val="23-DR20150930"/>
      <sheetName val="24-YX20150930"/>
      <sheetName val="25-SZKJ20150930"/>
      <sheetName val="26-WX20150930"/>
      <sheetName val="27-TJHFD20150930"/>
      <sheetName val="28-ZZHFD20150930"/>
      <sheetName val="29-HFDZH20150930"/>
      <sheetName val="30-HFDHZ20150930"/>
      <sheetName val="31-HFDNB20150930"/>
      <sheetName val="32-HFDSZ20150930"/>
      <sheetName val="33-SZJS20150930"/>
      <sheetName val="34-SHYP20150930"/>
      <sheetName val="35-HZYP20150930"/>
      <sheetName val="36-ZH20150930"/>
      <sheetName val="37-NB20150930"/>
      <sheetName val="38-CM20150930"/>
      <sheetName val="39-HK20150930"/>
      <sheetName val="40-HKHT20150930"/>
      <sheetName val="42-CMATE20150930"/>
      <sheetName val="43-Super20150930"/>
      <sheetName val="Tickmark"/>
      <sheetName val="TT 2015 Q3 - 1113v3"/>
      <sheetName val="Code"/>
      <sheetName val="Non-Statistical Sampling Master"/>
      <sheetName val="Two Step Revenue Testing Master"/>
      <sheetName val="Global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Set>
  </externalBook>
</externalLink>
</file>

<file path=xl/externalLinks/externalLink75.xml><?xml version="1.0" encoding="utf-8"?>
<externalLink xmlns="http://schemas.openxmlformats.org/spreadsheetml/2006/main">
  <externalBook xmlns:r="http://schemas.openxmlformats.org/officeDocument/2006/relationships" r:id="rId1">
    <sheetNames>
      <sheetName val="Code"/>
      <sheetName val="cover"/>
      <sheetName val="guide"/>
      <sheetName val="affiliates"/>
      <sheetName val="index"/>
      <sheetName val="#1"/>
      <sheetName val="#2"/>
      <sheetName val="＃３"/>
      <sheetName val="＃３(old)"/>
      <sheetName val="＃４"/>
      <sheetName val="#5"/>
      <sheetName val="#6"/>
      <sheetName val="#7"/>
      <sheetName val="#8"/>
      <sheetName val="#9"/>
      <sheetName val="#10"/>
      <sheetName val="#11"/>
      <sheetName val="#12"/>
      <sheetName val="#12A"/>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환율)"/>
      <sheetName val="#37"/>
      <sheetName val="Mtd Collection"/>
      <sheetName val="Non-Statistical Sampling"/>
      <sheetName val="AR Drop Downs"/>
      <sheetName val="DropDown"/>
      <sheetName val="Rate"/>
      <sheetName val=".0.xls)Permitted Valu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76.xml><?xml version="1.0" encoding="utf-8"?>
<externalLink xmlns="http://schemas.openxmlformats.org/spreadsheetml/2006/main">
  <externalBook xmlns:r="http://schemas.openxmlformats.org/officeDocument/2006/relationships" r:id="rId1">
    <sheetNames>
      <sheetName val="SmallSamp"/>
      <sheetName val="Check_Spell"/>
      <sheetName val="Targeted Testing-1"/>
      <sheetName val="test result"/>
      <sheetName val="Targeted Testing"/>
      <sheetName val="Non-Statistical Sampling"/>
      <sheetName val="Accept Reject"/>
      <sheetName val="AR Drop Downs"/>
      <sheetName val="ARLU"/>
      <sheetName val="Instructions"/>
      <sheetName val="First Sample Results"/>
      <sheetName val="DropDown"/>
      <sheetName val="Currency"/>
      <sheetName val="Non-Statistical Sampling Master"/>
      <sheetName val="Funding"/>
      <sheetName val="Rate"/>
      <sheetName val="Sommai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7.xml><?xml version="1.0" encoding="utf-8"?>
<externalLink xmlns="http://schemas.openxmlformats.org/spreadsheetml/2006/main">
  <externalBook xmlns:r="http://schemas.openxmlformats.org/officeDocument/2006/relationships" r:id="rId1">
    <sheetNames>
      <sheetName val="Library Procedures "/>
      <sheetName val="Audit Results - Template"/>
      <sheetName val="TOD Template Menu"/>
      <sheetName val="Menu Master"/>
      <sheetName val="Targeted Testing Master"/>
      <sheetName val="Non-Statistical Sampling Master"/>
      <sheetName val="Suppl Non-Stat Sample Master"/>
      <sheetName val="Accept Reject Master"/>
      <sheetName val="AR Confirmation Log Master"/>
      <sheetName val="Fixed Asset Additions Master"/>
      <sheetName val="Fixed Asset Disposals Master"/>
      <sheetName val="Unrecord Liab - Pd Inv Master"/>
      <sheetName val="Unrecord Liab - Unpd Inv Master"/>
      <sheetName val="Testing Detail Master"/>
      <sheetName val="First Sample Results Master"/>
      <sheetName val="Global Data"/>
      <sheetName val="UFPrn20151023153002"/>
      <sheetName val="合并_161231"/>
      <sheetName val="Non-Statistical Sampling"/>
      <sheetName val="Sum-Oak"/>
      <sheetName val="科目表"/>
      <sheetName val="Namelist"/>
      <sheetName val="!Lists"/>
      <sheetName val="TOTAL"/>
      <sheetName val="科目名"/>
      <sheetName val="培训选项"/>
      <sheetName val="安全服务"/>
      <sheetName val="Customer"/>
      <sheetName val="Drop Down"/>
      <sheetName val="Profit and Loss"/>
      <sheetName val="Lead"/>
      <sheetName val="Assumption"/>
      <sheetName val="COA映射"/>
      <sheetName val="Account"/>
      <sheetName val="Entity"/>
      <sheetName val="ICP"/>
      <sheetName val="Sheet3"/>
      <sheetName val="Projection"/>
      <sheetName val="报表项目明细"/>
      <sheetName val="会计科目明细"/>
      <sheetName val="Additions Interface"/>
      <sheetName val="ListsValidations"/>
      <sheetName val="DC A VS B"/>
      <sheetName val="Currency"/>
      <sheetName val="AR Drop Downs"/>
      <sheetName val="DropDown"/>
      <sheetName val="映射"/>
      <sheetName val="目錄"/>
      <sheetName val="Library_Procedures_"/>
      <sheetName val="Audit_Results_-_Template"/>
      <sheetName val="TOD_Template_Menu"/>
      <sheetName val="Menu_Master"/>
      <sheetName val="Targeted_Testing_Master"/>
      <sheetName val="Non-Statistical_Sampling_Master"/>
      <sheetName val="Suppl_Non-Stat_Sample_Master"/>
      <sheetName val="Accept_Reject_Master"/>
      <sheetName val="AR_Confirmation_Log_Master"/>
      <sheetName val="Fixed_Asset_Additions_Master"/>
      <sheetName val="Fixed_Asset_Disposals_Master"/>
      <sheetName val="Unrecord_Liab_-_Pd_Inv_Master"/>
      <sheetName val="Unrecord_Liab_-_Unpd_Inv_Master"/>
      <sheetName val="Testing_Detail_Master"/>
      <sheetName val="First_Sample_Results_Master"/>
      <sheetName val="Global_Data"/>
      <sheetName val="采购周期"/>
      <sheetName val="Valuation Parameters  (2)"/>
      <sheetName val="XL4Poppy"/>
      <sheetName val="0312"/>
      <sheetName val="Dic"/>
      <sheetName val="Control Risk"/>
      <sheetName val="Inherent Risk"/>
      <sheetName val="ACT"/>
      <sheetName val="BUD"/>
      <sheetName val="LYR"/>
      <sheetName val="Validation source"/>
      <sheetName val="F-1 MgmtAC"/>
      <sheetName val="TT template"/>
      <sheetName val="Repayment Summary"/>
      <sheetName val="Title"/>
      <sheetName val="Collateral"/>
      <sheetName val="Disposition"/>
      <sheetName val="NPZ应付"/>
      <sheetName val="Two Step Revenue Testing Master"/>
      <sheetName val="Non-Statistical Sampling-2"/>
      <sheetName val="Accept Reject-2"/>
      <sheetName val="Targeted Testing-1"/>
      <sheetName val="Fixed Asset Additions-1"/>
      <sheetName val="Financ. Overview"/>
      <sheetName val="Toolbox"/>
      <sheetName val="添付資料１"/>
      <sheetName val="设备部房屋"/>
      <sheetName val="May12"/>
      <sheetName val="固定资产"/>
      <sheetName val="1-Summary"/>
      <sheetName val="Sheet5"/>
      <sheetName val="工程物资Dy"/>
      <sheetName val="F-C-2"/>
      <sheetName val="A002"/>
      <sheetName val="General06"/>
      <sheetName val="FORGING"/>
      <sheetName val="MTList"/>
      <sheetName val="封面"/>
      <sheetName val="cover"/>
      <sheetName val="G.1R-Shou COP Gf"/>
      <sheetName val="CONTENTS"/>
      <sheetName val="EARN"/>
      <sheetName val="Open"/>
      <sheetName val="AIO"/>
      <sheetName val="Main"/>
      <sheetName val="index"/>
      <sheetName val="Accuracy Check"/>
      <sheetName val="Tables"/>
      <sheetName val="Package"/>
      <sheetName val="名称"/>
      <sheetName val="进口设备FOB总价表"/>
      <sheetName val="字典"/>
      <sheetName val="PRC_ 080630-Parent-Mgt"/>
      <sheetName val="list"/>
      <sheetName val="Tax Payable"/>
      <sheetName val="Disks"/>
      <sheetName val="综合"/>
      <sheetName val="3-1-1现金"/>
      <sheetName val="C-1 总表"/>
      <sheetName val="Descriptions"/>
      <sheetName val="Inputs"/>
      <sheetName val="Sheet2"/>
      <sheetName val="SCO3"/>
      <sheetName val="PRC Adj."/>
      <sheetName val="Dallas TX (Cedar Springs Rd)"/>
      <sheetName val="Options"/>
      <sheetName val="期后回款测试"/>
      <sheetName val="短期借款Dy"/>
      <sheetName val="科目名称"/>
      <sheetName val="A5.dim&amp;adj sum"/>
      <sheetName val="完"/>
      <sheetName val="销售人效 - Overview"/>
      <sheetName val="CoCos_Segments"/>
      <sheetName val="Links"/>
      <sheetName val="Com Lever"/>
      <sheetName val="C_301"/>
      <sheetName val="C_311"/>
      <sheetName val="C_318"/>
      <sheetName val="budget status"/>
      <sheetName val="sheet4"/>
      <sheetName val="采购计划信息"/>
      <sheetName val="CER 1997"/>
      <sheetName val="Mobile"/>
      <sheetName val="Assump"/>
      <sheetName val="收入"/>
      <sheetName val="EJ Equity Mvt"/>
      <sheetName val="WorkData"/>
      <sheetName val="VINYLS"/>
      <sheetName val="Commodity names"/>
      <sheetName val="PROP_95"/>
      <sheetName val="试算平衡表"/>
      <sheetName val="XBase"/>
      <sheetName val="Assum"/>
      <sheetName val="ROW"/>
      <sheetName val="Lib"/>
      <sheetName val="FA List"/>
      <sheetName val="Apr07 Close"/>
      <sheetName val="惠迪-FA-For report"/>
      <sheetName val="设置"/>
      <sheetName val="Summary-车服"/>
      <sheetName val="For Report"/>
      <sheetName val="Summary-惠迪"/>
      <sheetName val="Calc"/>
      <sheetName val="Scoping"/>
      <sheetName val="Images"/>
      <sheetName val="二期内购汇总表"/>
      <sheetName val="往来款"/>
      <sheetName val="Net Trade"/>
      <sheetName val="Lifetable 80 percent Mortality"/>
      <sheetName val="P310-2011.9.30"/>
      <sheetName val="P520-Alternative"/>
      <sheetName val="P500-SS Cover"/>
      <sheetName val="P510-SS"/>
      <sheetName val="预收帐款"/>
      <sheetName val="Tower A"/>
      <sheetName val="1.5 合同、非合同台帐"/>
      <sheetName val="Introduction"/>
      <sheetName val="玛赛软件合同总价表"/>
      <sheetName val="内贸采购合同总价表"/>
      <sheetName val="details"/>
      <sheetName val="Atapi Integrater"/>
      <sheetName val="Core Group - Media "/>
      <sheetName val="Retail Atapi"/>
      <sheetName val="Mov‘2008"/>
      <sheetName val="Mov‘2007"/>
      <sheetName val="Mov‘2005"/>
      <sheetName val="Mov‘2006"/>
      <sheetName val="07.06"/>
      <sheetName val="Input-Act"/>
      <sheetName val="Input"/>
      <sheetName val="项目"/>
      <sheetName val="#REF"/>
      <sheetName val="23"/>
      <sheetName val="Volatility"/>
      <sheetName val="Comp"/>
      <sheetName val="AU"/>
      <sheetName val="BR"/>
      <sheetName val="CO"/>
      <sheetName val="DK"/>
      <sheetName val="EIU"/>
      <sheetName val="LEB"/>
      <sheetName val="PA"/>
      <sheetName val="RU"/>
      <sheetName val="Parameters"/>
      <sheetName val="Library_Procedures_1"/>
      <sheetName val="Audit_Results_-_Template1"/>
      <sheetName val="TOD_Template_Menu1"/>
      <sheetName val="Menu_Master1"/>
      <sheetName val="Targeted_Testing_Master1"/>
      <sheetName val="Non-Statistical_Sampling_Maste1"/>
      <sheetName val="Suppl_Non-Stat_Sample_Master1"/>
      <sheetName val="Accept_Reject_Master1"/>
      <sheetName val="AR_Confirmation_Log_Master1"/>
      <sheetName val="Fixed_Asset_Additions_Master1"/>
      <sheetName val="Fixed_Asset_Disposals_Master1"/>
      <sheetName val="Unrecord_Liab_-_Pd_Inv_Master1"/>
      <sheetName val="Unrecord_Liab_-_Unpd_Inv_Maste1"/>
      <sheetName val="Testing_Detail_Master1"/>
      <sheetName val="First_Sample_Results_Master1"/>
      <sheetName val="Global_Data1"/>
      <sheetName val="Non-Statistical_Sampling"/>
      <sheetName val="AR_Drop_Downs"/>
      <sheetName val="Inventory List"/>
      <sheetName val="Library Procedures"/>
      <sheetName val="Pov"/>
      <sheetName val="其他货币资金.dbf"/>
      <sheetName val="银行存款.dbf"/>
      <sheetName val="F-C"/>
      <sheetName val="Code"/>
      <sheetName val="Earnings"/>
      <sheetName val="Price T"/>
      <sheetName val="Companies"/>
      <sheetName val="Currencies"/>
      <sheetName val="BS P&amp;L-SAP standard form"/>
      <sheetName val="Logistics Cost"/>
      <sheetName val="zjfyb"/>
      <sheetName val="DGTB"/>
      <sheetName val="PPA"/>
      <sheetName val="Julian%20Zha"/>
      <sheetName val="Documents%20"/>
      <sheetName val="Echange Rates"/>
      <sheetName val="BALANCE SHEET - TOTALS"/>
      <sheetName val="Common Size Statements"/>
      <sheetName val="配置"/>
      <sheetName val="新名称管理"/>
      <sheetName val="FSM"/>
      <sheetName val="mapping"/>
      <sheetName val="IPH Scenario"/>
      <sheetName val="Setting"/>
      <sheetName val="Assumptions"/>
      <sheetName val="1.0"/>
      <sheetName val="CF-Update"/>
      <sheetName val="Value summary"/>
      <sheetName val="Share Prices"/>
      <sheetName val="Model"/>
      <sheetName val="WebOut"/>
      <sheetName val="A"/>
      <sheetName val="customer info"/>
      <sheetName val="AR aging09"/>
      <sheetName val="Exchange_Rate &amp; Costs"/>
      <sheetName val="Rate"/>
      <sheetName val="A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Set>
  </externalBook>
</externalLink>
</file>

<file path=xl/externalLinks/externalLink78.xml><?xml version="1.0" encoding="utf-8"?>
<externalLink xmlns="http://schemas.openxmlformats.org/spreadsheetml/2006/main">
  <externalBook xmlns:r="http://schemas.openxmlformats.org/officeDocument/2006/relationships" r:id="rId1">
    <sheetNames>
      <sheetName val="基本参数"/>
      <sheetName val="审计说明"/>
      <sheetName val="应付工资福利费分析性复核"/>
      <sheetName val="应付工资、福利审定表"/>
      <sheetName val="图例分析"/>
      <sheetName val="应付工资附加和福利费检查表"/>
      <sheetName val="2005年每月职工人数"/>
      <sheetName val="应付工资凭证查证"/>
      <sheetName val="应付福利费凭证查证"/>
      <sheetName val="BaseAju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9.xml><?xml version="1.0" encoding="utf-8"?>
<externalLink xmlns="http://schemas.openxmlformats.org/spreadsheetml/2006/main">
  <externalBook xmlns:r="http://schemas.openxmlformats.org/officeDocument/2006/relationships" r:id="rId1">
    <sheetNames>
      <sheetName val="Current Project"/>
      <sheetName val="Outstanding"/>
      <sheetName val="Requested"/>
      <sheetName val="Leads"/>
      <sheetName val="Declined"/>
      <sheetName val="P&amp;LForecast"/>
      <sheetName val="P&amp;L"/>
      <sheetName val="Costs"/>
      <sheetName val="Business Ratios SA"/>
      <sheetName val="Exchange_Rate &amp; Costs"/>
      <sheetName val="tables"/>
      <sheetName val="Currency"/>
      <sheetName val="DropDown"/>
      <sheetName val="Non-Statistical Sampling"/>
      <sheetName val="Summary"/>
      <sheetName val="AR Drop Downs"/>
      <sheetName val="Config"/>
      <sheetName val="#REF"/>
      <sheetName val="Listvalues"/>
      <sheetName val="ListValue"/>
      <sheetName val="fee_tabel"/>
      <sheetName val="Rate"/>
      <sheetName val="00S_PL  "/>
      <sheetName val="99S_PL "/>
      <sheetName val="基本参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0.xml><?xml version="1.0" encoding="utf-8"?>
<externalLink xmlns="http://schemas.openxmlformats.org/spreadsheetml/2006/main">
  <externalBook xmlns:r="http://schemas.openxmlformats.org/officeDocument/2006/relationships" r:id="rId1">
    <sheetNames>
      <sheetName val="Project Registration Page 1"/>
      <sheetName val="Project Registration Page 2"/>
      <sheetName val="calculation_fees"/>
      <sheetName val="fee_tabel"/>
      <sheetName val="tables"/>
      <sheetName val="Currency"/>
      <sheetName val="DropDown"/>
      <sheetName val="Non-Statistical Sampling"/>
      <sheetName val="VAL"/>
      <sheetName val="Exchange_Rate &amp; Costs"/>
      <sheetName val="Consultants local currency"/>
      <sheetName val="Listvalues"/>
      <sheetName val="ListValue"/>
      <sheetName val="销售商品信息"/>
      <sheetName val="Code"/>
      <sheetName val="01S_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1.xml><?xml version="1.0" encoding="utf-8"?>
<externalLink xmlns="http://schemas.openxmlformats.org/spreadsheetml/2006/main">
  <externalBook xmlns:r="http://schemas.openxmlformats.org/officeDocument/2006/relationships" r:id="rId1">
    <sheetNames>
      <sheetName val="Current Project"/>
      <sheetName val="Outstanding"/>
      <sheetName val="Requested"/>
      <sheetName val="Leads"/>
      <sheetName val="Declined"/>
      <sheetName val="P&amp;LForecast"/>
      <sheetName val="P&amp;L"/>
      <sheetName val="Costs"/>
      <sheetName val="Exchange_Rate &amp; Costs"/>
      <sheetName val="tables"/>
      <sheetName val="Listing Expense"/>
      <sheetName val="PE"/>
      <sheetName val="fee_tabel"/>
      <sheetName val="Consultants local currency"/>
      <sheetName val="Sheet1"/>
      <sheetName val="F4PLCGBP"/>
      <sheetName val="Non-Statistical Sampling"/>
      <sheetName val="AR Drop Downs"/>
      <sheetName val="DropDown"/>
      <sheetName val="SUMMARY ALL C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82.xml><?xml version="1.0" encoding="utf-8"?>
<externalLink xmlns="http://schemas.openxmlformats.org/spreadsheetml/2006/main">
  <externalBook xmlns:r="http://schemas.openxmlformats.org/officeDocument/2006/relationships" r:id="rId1">
    <sheetNames>
      <sheetName val="目录"/>
      <sheetName val="报关单核对表"/>
      <sheetName val="I1"/>
      <sheetName val="收入说明"/>
      <sheetName val="前十名统计"/>
      <sheetName val="收入明细表"/>
      <sheetName val="毛利分析图"/>
      <sheetName val="收入分月"/>
      <sheetName val="收入各月波动分析"/>
      <sheetName val="收入结构比较"/>
      <sheetName val="成本分月"/>
      <sheetName val="数量分月"/>
      <sheetName val="平均售价表"/>
      <sheetName val="售价波动分析"/>
      <sheetName val="05-06毛利比较"/>
      <sheetName val="05-06价格比较"/>
      <sheetName val="平均成本表"/>
      <sheetName val="辅助1"/>
      <sheetName val="毛利分月"/>
      <sheetName val="毛利分月(以平均成本计算)"/>
      <sheetName val="三年一期毛利率分析"/>
      <sheetName val="收入调整明细"/>
      <sheetName val="发出商品"/>
      <sheetName val="平均成本"/>
      <sheetName val="收入规模－生产"/>
      <sheetName val="收入规模－财务"/>
      <sheetName val="折扣与折让"/>
      <sheetName val="三年收入"/>
      <sheetName val="价格测试"/>
      <sheetName val="测试性测试－销售"/>
      <sheetName val="销售退回凭证测试表"/>
      <sheetName val="真实性"/>
      <sheetName val="重点客户凭证测试表"/>
      <sheetName val="内外销统计表"/>
      <sheetName val="参数"/>
      <sheetName val="预警信号"/>
      <sheetName val="相关法规"/>
      <sheetName val="Flash 2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83.xml><?xml version="1.0" encoding="utf-8"?>
<externalLink xmlns="http://schemas.openxmlformats.org/spreadsheetml/2006/main">
  <externalBook xmlns:r="http://schemas.openxmlformats.org/officeDocument/2006/relationships" r:id="rId1">
    <sheetNames>
      <sheetName val="参数"/>
      <sheetName val="待补资料"/>
      <sheetName val="主营业务支出"/>
      <sheetName val="主营业务支出说明"/>
      <sheetName val="主营业务成本明细"/>
      <sheetName val="主成明细"/>
      <sheetName val="重分类 (与上年口径一致)"/>
      <sheetName val="成本审定数与上年比（与上年口径一致）"/>
      <sheetName val="预付帐款"/>
      <sheetName val="预付账款说"/>
      <sheetName val="预付帐款明细"/>
      <sheetName val="1年以上预付帐款调整明细 "/>
      <sheetName val="其他应收款"/>
      <sheetName val="其他应收款审计说明"/>
      <sheetName val="其他应收款明细"/>
      <sheetName val="其他应收前10"/>
      <sheetName val="其他应付款"/>
      <sheetName val="其他应付款说明"/>
      <sheetName val="其他应付款明细"/>
      <sheetName val="E1020"/>
      <sheetName val="Fin_Dashboar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4.xml><?xml version="1.0" encoding="utf-8"?>
<externalLink xmlns="http://schemas.openxmlformats.org/spreadsheetml/2006/main">
  <externalBook xmlns:r="http://schemas.openxmlformats.org/officeDocument/2006/relationships" r:id="rId1">
    <sheetNames>
      <sheetName val="R25A"/>
      <sheetName val="VOH"/>
      <sheetName val="FOH"/>
      <sheetName val="R51"/>
      <sheetName val="R52"/>
      <sheetName val="SUM by cost center"/>
      <sheetName val="SUM By DL"/>
      <sheetName val="Budget driver"/>
      <sheetName val="2007 key"/>
      <sheetName val="Data"/>
      <sheetName val="Salary Jul 06"/>
      <sheetName val="Heaccount 07"/>
      <sheetName val="General"/>
      <sheetName val="HR Cost By SBU"/>
      <sheetName val="Headcount Budget 2007"/>
      <sheetName val="DL Headcount Budget 2007"/>
      <sheetName val="base Data 07"/>
      <sheetName val="Forecast Dec 06"/>
      <sheetName val="HR Forecast 06"/>
      <sheetName val="Sheet1"/>
      <sheetName val="FULBETEIL-A"/>
      <sheetName val="FULFRANCE"/>
      <sheetName val="FUL CITIBANK"/>
      <sheetName val="PLC FRANCE"/>
      <sheetName val="fee_tabel"/>
      <sheetName val="PLCGBVEU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85.xml><?xml version="1.0" encoding="utf-8"?>
<externalLink xmlns="http://schemas.openxmlformats.org/spreadsheetml/2006/main">
  <externalBook xmlns:r="http://schemas.openxmlformats.org/officeDocument/2006/relationships" r:id="rId1">
    <sheetNames>
      <sheetName val="Main"/>
      <sheetName val="Sheet2"/>
      <sheetName val="图表1"/>
      <sheetName val="Sheet3"/>
      <sheetName val="XL4Poppy"/>
      <sheetName val="Sheet1"/>
      <sheetName val="2002年3月份"/>
      <sheetName val="2004年4月份"/>
      <sheetName val="Menu"/>
      <sheetName val="表1(汇总）"/>
      <sheetName val="表1 质管部(14)"/>
      <sheetName val="表1财务部(16) "/>
      <sheetName val="表1行政部(16)"/>
      <sheetName val="表1采购部(3)"/>
      <sheetName val="表1设备部(9)"/>
      <sheetName val="表1生产部(7)"/>
      <sheetName val="总经办"/>
      <sheetName val="表2"/>
      <sheetName val="Calendar"/>
      <sheetName val="表1"/>
      <sheetName val="表3"/>
      <sheetName val="表4"/>
      <sheetName val="表5"/>
      <sheetName val="表6"/>
      <sheetName val="表7"/>
      <sheetName val="表8"/>
      <sheetName val="表9"/>
      <sheetName val="表10"/>
      <sheetName val="表11"/>
      <sheetName val="表12"/>
      <sheetName val="表13"/>
      <sheetName val="表14"/>
      <sheetName val="表1A"/>
      <sheetName val="表1B"/>
      <sheetName val="表1C"/>
      <sheetName val="表4A"/>
      <sheetName val="表4B"/>
      <sheetName val="表4C"/>
      <sheetName val="表5A"/>
      <sheetName val="表5B"/>
      <sheetName val="表5C"/>
      <sheetName val="表15"/>
      <sheetName val="表16"/>
      <sheetName val="表17"/>
      <sheetName val="表18"/>
      <sheetName val="表19"/>
      <sheetName val="本期发生"/>
      <sheetName val="11度华丹"/>
      <sheetName val="13度高浓"/>
      <sheetName val="13度分配表"/>
      <sheetName val="13.65度雪花"/>
      <sheetName val="13.6雪花分配表"/>
      <sheetName val="13.65度沈阳"/>
      <sheetName val="13.65沈阳分配表"/>
      <sheetName val="11度干啤"/>
      <sheetName val="酵造过滤分配"/>
      <sheetName val="新水分配表"/>
      <sheetName val="酿造煤水电"/>
      <sheetName val="酿造麦芽"/>
      <sheetName val="汇总表"/>
      <sheetName val="煤水电备份 "/>
      <sheetName val="10.5度成本表"/>
      <sheetName val="11度雪成本表"/>
      <sheetName val="11度亚特成本表"/>
      <sheetName val="雪花干成本表"/>
      <sheetName val="华丹成本表"/>
      <sheetName val="11度沈阳鲜成本表"/>
      <sheetName val="制品辅料"/>
      <sheetName val="制品煤水电"/>
      <sheetName val="制品瓶盖商标"/>
      <sheetName val="雪花分配表"/>
      <sheetName val="雪花干分配表"/>
      <sheetName val="沈阳鲜分配表"/>
      <sheetName val="华丹分配"/>
      <sheetName val="桶酒15L"/>
      <sheetName val="桶酒20L"/>
      <sheetName val="桶酒30L"/>
      <sheetName val="桶酒10L"/>
      <sheetName val="桶酒5L"/>
      <sheetName val="桶酒20L (雪) "/>
      <sheetName val="桶酒30L (雪)  "/>
      <sheetName val="桶酒15L(华）"/>
      <sheetName val="桶酒20L（华）"/>
      <sheetName val="桶酒30L（华）"/>
      <sheetName val="桶酒20L(雪花干）"/>
      <sheetName val="_REF!"/>
      <sheetName val="Open"/>
      <sheetName val="Me舼u"/>
      <sheetName val="13.65度沈ᘳ"/>
      <sheetName val="7月收入预算明细"/>
      <sheetName val="7月支出预算明细 "/>
      <sheetName val="8月收入预算明细"/>
      <sheetName val="8月支出预算明细"/>
      <sheetName val="9月收入预算明细"/>
      <sheetName val="9月支出预算明细"/>
      <sheetName val="Í¼±í1"/>
      <sheetName val="2002Äê3ÔÂ·Ý"/>
      <sheetName val="2004Äê4ÔÂ·Ý"/>
      <sheetName val="±í1(»ã×Ü£©"/>
      <sheetName val="±í1 ÖÊ¹Ü²¿(14)"/>
      <sheetName val="±í1²ÆÎñ²¿(16) "/>
      <sheetName val="±í1ÐÐÕþ²¿(16)"/>
      <sheetName val="±í1²É¹º²¿(3)"/>
      <sheetName val="±í1Éè±¸²¿(9)"/>
      <sheetName val="±í1Éú²ú²¿(7)"/>
      <sheetName val="×Ü¾­°ì"/>
      <sheetName val="±í2"/>
      <sheetName val="±í1"/>
      <sheetName val="±í3"/>
      <sheetName val="±í4"/>
      <sheetName val="±í5"/>
      <sheetName val="±í6"/>
      <sheetName val="±í7"/>
      <sheetName val="±í8"/>
      <sheetName val="±í9"/>
      <sheetName val="±í10"/>
      <sheetName val="±í11"/>
      <sheetName val="±í12"/>
      <sheetName val="±í13"/>
      <sheetName val="±í14"/>
      <sheetName val="±í1A"/>
      <sheetName val="±í1B"/>
      <sheetName val="±í1C"/>
      <sheetName val="±í4A"/>
      <sheetName val="±í4B"/>
      <sheetName val="±í4C"/>
      <sheetName val="±í5A"/>
      <sheetName val="±í5B"/>
      <sheetName val="±í5C"/>
      <sheetName val="±í15"/>
      <sheetName val="±í16"/>
      <sheetName val="±í17"/>
      <sheetName val="±í18"/>
      <sheetName val="±í19"/>
      <sheetName val="±¾ÆÚ·¢Éú"/>
      <sheetName val="11¶È»ªµ¤"/>
      <sheetName val="13¶È¸ßÅ¨"/>
      <sheetName val="13¶È·ÖÅä±í"/>
      <sheetName val="13.65¶ÈÑ©»¨"/>
      <sheetName val="13.6Ñ©»¨·ÖÅä±í"/>
      <sheetName val="13.65¶ÈÉòÑô"/>
      <sheetName val="13.65ÉòÑô·ÖÅä±í"/>
      <sheetName val="11¶È¸ÉÆ¡"/>
      <sheetName val="½ÍÔì¹ýÂË·ÖÅä"/>
      <sheetName val="ÐÂË®·ÖÅä±í"/>
      <sheetName val="ÄðÔìÃºË®µç"/>
      <sheetName val="ÄðÔìÂóÑ¿"/>
      <sheetName val="»ã×Ü±í"/>
      <sheetName val="ÃºË®µç±¸·Ý "/>
      <sheetName val="10.5¶È³É±¾±í"/>
      <sheetName val="11¶ÈÑ©³É±¾±í"/>
      <sheetName val="11¶ÈÑÇÌØ³É±¾±í"/>
      <sheetName val="Ñ©»¨¸É³É±¾±í"/>
      <sheetName val="»ªµ¤³É±¾±í"/>
      <sheetName val="11¶ÈÉòÑôÏÊ³É±¾±í"/>
      <sheetName val="ÖÆÆ·¸¨ÁÏ"/>
      <sheetName val="ÖÆÆ·ÃºË®µç"/>
      <sheetName val="ÖÆÆ·Æ¿¸ÇÉÌ±ê"/>
      <sheetName val="Ñ©»¨·ÖÅä±í"/>
      <sheetName val="Ñ©»¨¸É·ÖÅä±í"/>
      <sheetName val="ÉòÑôÏÊ·ÖÅä±í"/>
      <sheetName val="»ªµ¤·ÖÅä"/>
      <sheetName val="Í°¾Æ15L"/>
      <sheetName val="Í°¾Æ20L"/>
      <sheetName val="Í°¾Æ30L"/>
      <sheetName val="Í°¾Æ10L"/>
      <sheetName val="Í°¾Æ5L"/>
      <sheetName val="Í°¾Æ20L (Ñ©) "/>
      <sheetName val="Í°¾Æ30L (Ñ©)  "/>
      <sheetName val="Í°¾Æ15L(»ª£©"/>
      <sheetName val="Í°¾Æ20L£¨»ª£©"/>
      <sheetName val="Í°¾Æ30L£¨»ª£©"/>
      <sheetName val="Í°¾Æ20L(Ñ©»¨¸É£©"/>
      <sheetName val="MeÅ|u"/>
      <sheetName val="13.65¶ÈÉò_"/>
      <sheetName val="¨ª_¡À¨ª1"/>
      <sheetName val="2002_¨º3__¡¤Y"/>
      <sheetName val="2004_¨º4__¡¤Y"/>
      <sheetName val="¡À¨ª1(__¡Á¨¹¡ê_"/>
      <sheetName val="¡À¨ª1 _¨º1¨¹2_(14)"/>
      <sheetName val="¡À¨ª12___2_(16) "/>
      <sheetName val="¡À¨ª1DD_t2_(16)"/>
      <sheetName val="¡À¨ª12¨¦1o2_(3)"/>
      <sheetName val="¡À¨ª1¨¦¨¨¡À_2_(9)"/>
      <sheetName val="¡À¨ª1¨¦¨²2¨²2_(7)"/>
      <sheetName val="¡Á¨¹_-¡ã¨¬"/>
      <sheetName val="¡À¨ª2"/>
      <sheetName val="¡À¨ª1"/>
      <sheetName val="¡À¨ª3"/>
      <sheetName val="¡À¨ª4"/>
      <sheetName val="¡À¨ª5"/>
      <sheetName val="¡À¨ª6"/>
      <sheetName val="¡À¨ª7"/>
      <sheetName val="¡À¨ª8"/>
      <sheetName val="¡À¨ª9"/>
      <sheetName val="¡À¨ª10"/>
      <sheetName val="¡À¨ª11"/>
      <sheetName val="¡À¨ª12"/>
      <sheetName val="¡À¨ª13"/>
      <sheetName val="¡À¨ª14"/>
      <sheetName val="¡À¨ª1A"/>
      <sheetName val="¡À¨ª1B"/>
      <sheetName val="¡À¨ª1C"/>
      <sheetName val="¡À¨ª4A"/>
      <sheetName val="¡À¨ª4B"/>
      <sheetName val="¡À¨ª4C"/>
      <sheetName val="¡À¨ª5A"/>
      <sheetName val="¡À¨ª5B"/>
      <sheetName val="¡À¨ª5C"/>
      <sheetName val="¡À¨ª15"/>
      <sheetName val="¡À¨ª16"/>
      <sheetName val="¡À¨ª17"/>
      <sheetName val="¡À¨ª18"/>
      <sheetName val="¡À¨ª19"/>
      <sheetName val="¡À__¨²¡¤¡é¨¦¨²"/>
      <sheetName val="11_¨¨_a¦Ì¡è"/>
      <sheetName val="13_¨¨___¡§"/>
      <sheetName val="13_¨¨¡¤___¡À¨ª"/>
      <sheetName val="13.65_¨¨___¡§"/>
      <sheetName val="13.6___¡§¡¤___¡À¨ª"/>
      <sheetName val="13.65_¨¨¨¦¨°__"/>
      <sheetName val="13.65¨¦¨°__¡¤___¡À¨ª"/>
      <sheetName val="11_¨¨_¨¦__"/>
      <sheetName val="_¨ª_¨¬1y__¡¤___"/>
      <sheetName val="D___¡¤___¡À¨ª"/>
      <sheetName val="_e_¨¬_o__¦Ì_"/>
      <sheetName val="_e_¨¬_¨®__"/>
      <sheetName val="__¡Á¨¹¡À¨ª"/>
      <sheetName val="_o__¦Ì_¡À_¡¤Y "/>
      <sheetName val="10.5_¨¨3¨¦¡À_¡À¨ª"/>
      <sheetName val="11_¨¨__3¨¦¡À_¡À¨ª"/>
      <sheetName val="11_¨¨__¨¬_3¨¦¡À_¡À¨ª"/>
      <sheetName val="___¡§_¨¦3¨¦¡À_¡À¨ª"/>
      <sheetName val="_a¦Ì¡è3¨¦¡À_¡À¨ª"/>
      <sheetName val="11_¨¨¨¦¨°___¨º3¨¦¡À_¡À¨ª"/>
      <sheetName val="___¡¤_¡§¨¢_"/>
      <sheetName val="___¡¤_o__¦Ì_"/>
      <sheetName val="___¡¤____¨¦¨¬¡À¨º"/>
      <sheetName val="___¡§¡¤___¡À¨ª"/>
      <sheetName val="___¡§_¨¦¡¤___¡À¨ª"/>
      <sheetName val="¨¦¨°___¨º¡¤___¡À¨ª"/>
      <sheetName val="_a¦Ì¡è¡¤___"/>
      <sheetName val="¨ª¡ã__15L"/>
      <sheetName val="¨ª¡ã__20L"/>
      <sheetName val="¨ª¡ã__30L"/>
      <sheetName val="¨ª¡ã__10L"/>
      <sheetName val="¨ª¡ã__5L"/>
      <sheetName val="¨ª¡ã__20L (__) "/>
      <sheetName val="¨ª¡ã__30L (__)  "/>
      <sheetName val="¨ª¡ã__15L(_a¡ê_"/>
      <sheetName val="¨ª¡ã__20L¡ê¡§_a¡ê_"/>
      <sheetName val="¨ª¡ã__30L¡ê¡§_a¡ê_"/>
      <sheetName val="¨ª¡ã__20L(___¡§_¨¦¡ê_"/>
      <sheetName val="Me_|u"/>
      <sheetName val="13.65_¨¨¨¦¨°_"/>
      <sheetName val="12.31"/>
      <sheetName val="eqpmad2"/>
      <sheetName val="新产品贡献率"/>
      <sheetName val="SW-TEO"/>
      <sheetName val="2002.1-6管理费用"/>
      <sheetName val="YS02-02"/>
      <sheetName val="参数"/>
      <sheetName val="核算项目余额表"/>
      <sheetName val="B"/>
      <sheetName val="13.65度沈_"/>
      <sheetName val="#REF!"/>
      <sheetName val="4-12-1土地使用权"/>
      <sheetName val="申报表封面"/>
      <sheetName val="表1_质管部(14)"/>
      <sheetName val="表1财务部(16)_"/>
      <sheetName val="13_65度雪花"/>
      <sheetName val="13_6雪花分配表"/>
      <sheetName val="13_65度沈阳"/>
      <sheetName val="13_65沈阳分配表"/>
      <sheetName val="煤水电备份_"/>
      <sheetName val="10_5度成本表"/>
      <sheetName val="桶酒20L_(雪)_"/>
      <sheetName val="桶酒30L_(雪)__"/>
      <sheetName val="13_65度沈ᘳ"/>
      <sheetName val="7月支出预算明细_"/>
      <sheetName val="±í1_ÖÊ¹Ü²¿(14)"/>
      <sheetName val="±í1²ÆÎñ²¿(16)_"/>
      <sheetName val="13_65¶ÈÑ©»¨"/>
      <sheetName val="13_6Ñ©»¨·ÖÅä±í"/>
      <sheetName val="13_65¶ÈÉòÑô"/>
      <sheetName val="13_65ÉòÑô·ÖÅä±í"/>
      <sheetName val="ÃºË®µç±¸·Ý_"/>
      <sheetName val="10_5¶È³É±¾±í"/>
      <sheetName val="Í°¾Æ20L_(Ñ©)_"/>
      <sheetName val="Í°¾Æ30L_(Ñ©)__"/>
      <sheetName val="13_65¶ÈÉò_"/>
      <sheetName val="¡À¨ª1__¨º1¨¹2_(14)"/>
      <sheetName val="¡À¨ª12___2_(16)_"/>
      <sheetName val="13_65_¨¨___¡§"/>
      <sheetName val="13_6___¡§¡¤___¡À¨ª"/>
      <sheetName val="13_65_¨¨¨¦¨°__"/>
      <sheetName val="13_65¨¦¨°__¡¤___¡À¨ª"/>
      <sheetName val="_o__¦Ì_¡À_¡¤Y_"/>
      <sheetName val="10_5_¨¨3¨¦¡À_¡À¨ª"/>
      <sheetName val="¨ª¡ã__20L_(__)_"/>
      <sheetName val="¨ª¡ã__30L_(__)__"/>
      <sheetName val="13_65_¨¨¨¦¨°_"/>
      <sheetName val="12_31"/>
      <sheetName val="13_65度沈_"/>
      <sheetName val="SH Reconcili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Set>
  </externalBook>
</externalLink>
</file>

<file path=xl/externalLinks/externalLink86.xml><?xml version="1.0" encoding="utf-8"?>
<externalLink xmlns="http://schemas.openxmlformats.org/spreadsheetml/2006/main">
  <externalBook xmlns:r="http://schemas.openxmlformats.org/officeDocument/2006/relationships" r:id="rId1">
    <sheetNames>
      <sheetName val="1"/>
      <sheetName val="2"/>
      <sheetName val="3"/>
      <sheetName val="4"/>
      <sheetName val="5"/>
      <sheetName val="6"/>
      <sheetName val="7"/>
      <sheetName val="工时统计"/>
      <sheetName val="2000年年报附注格式盘"/>
      <sheetName val="说明"/>
      <sheetName val="封面"/>
      <sheetName val="调整分录"/>
      <sheetName val="资产类"/>
      <sheetName val="负债权益类"/>
      <sheetName val="损益类"/>
      <sheetName val="报表"/>
      <sheetName val="A1"/>
      <sheetName val="A2"/>
      <sheetName val="A3"/>
      <sheetName val="报表勾稽"/>
      <sheetName val="工时"/>
      <sheetName val="小结"/>
      <sheetName val="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87.xml><?xml version="1.0" encoding="utf-8"?>
<externalLink xmlns="http://schemas.openxmlformats.org/spreadsheetml/2006/main">
  <externalBook xmlns:r="http://schemas.openxmlformats.org/officeDocument/2006/relationships" r:id="rId1">
    <sheetNames>
      <sheetName val="SUMMARY ALL CO'S"/>
      <sheetName val="summary FULMAR"/>
      <sheetName val="PLC FRANCE"/>
      <sheetName val="FINANCE2PLC"/>
      <sheetName val="UKISOVERAD"/>
      <sheetName val="UKISOVERBCEF"/>
      <sheetName val="PLCRIGIPS"/>
      <sheetName val="PLCRIGIPSB"/>
      <sheetName val="PLCRIGIPSC"/>
      <sheetName val="PLCBETEILA"/>
      <sheetName val="PLCBETEILB"/>
      <sheetName val="PLCBETEILCHF"/>
      <sheetName val="PLCBETEILD"/>
      <sheetName val="PLCBETEILE"/>
      <sheetName val="FRANCE INVS B"/>
      <sheetName val="FRANCEINVESP"/>
      <sheetName val="PLCIBERYESO"/>
      <sheetName val="PLCPLACO"/>
      <sheetName val="PLACO3+4INT"/>
      <sheetName val="PLACOUK5"/>
      <sheetName val="PLACOUK6"/>
      <sheetName val="PLACOUK7"/>
      <sheetName val="PLACOUK8"/>
      <sheetName val="PLACOUK9"/>
      <sheetName val="PLACOUK10"/>
      <sheetName val="PLACOUK11"/>
      <sheetName val="PLACOUK12"/>
      <sheetName val="PLACOUK13"/>
      <sheetName val="PLACOUK14"/>
      <sheetName val="PLACOUK15"/>
      <sheetName val="PLACOUK16"/>
      <sheetName val="GIIPLC"/>
      <sheetName val="FULUK4567"/>
      <sheetName val="FULFRANCE"/>
      <sheetName val="FULBETEIL-A"/>
      <sheetName val="FUL CITIBANK"/>
      <sheetName val="LOCH ITALY"/>
      <sheetName val="LOCH ITALY B"/>
      <sheetName val="LOCHPLACO"/>
      <sheetName val="CITIBANK CHILE"/>
      <sheetName val="PLCITALIA"/>
      <sheetName val="plcisovera"/>
      <sheetName val="placouk3"/>
      <sheetName val="placouk4"/>
      <sheetName val="rigausf"/>
      <sheetName val="rigaush"/>
      <sheetName val="RIGAUSI"/>
      <sheetName val="rigger3"/>
      <sheetName val="rigger6"/>
      <sheetName val="rigger9"/>
      <sheetName val="rigger10"/>
      <sheetName val="rigger11"/>
      <sheetName val="rigger12"/>
      <sheetName val="GIIRE"/>
      <sheetName val="uk italgips"/>
      <sheetName val="FUL FRANCE"/>
      <sheetName val="ful italy"/>
      <sheetName val="ful italy 2"/>
      <sheetName val="LOCH PLACO"/>
      <sheetName val="summary CURRENT"/>
      <sheetName val="summary ALL"/>
      <sheetName val="summary FRANCE"/>
      <sheetName val="summary GERMANY"/>
      <sheetName val="plcisoverb"/>
      <sheetName val="plcisoverc"/>
      <sheetName val="plcisoverd"/>
      <sheetName val="plcivsovere"/>
      <sheetName val="plcisoverf"/>
      <sheetName val="plcisoverg"/>
      <sheetName val="plcisoverh"/>
      <sheetName val="UKISOVERA"/>
      <sheetName val="UKISOVERB"/>
      <sheetName val="PLCBPBGBV"/>
      <sheetName val="PLCBPBGBV2"/>
      <sheetName val="INVSBPBGBV1"/>
      <sheetName val="INVSBPBGBV2"/>
      <sheetName val="france invs a"/>
      <sheetName val="isogips invs"/>
      <sheetName val="placo uk1"/>
      <sheetName val="placouk2"/>
      <sheetName val="rigausc"/>
      <sheetName val="rigausd"/>
      <sheetName val="rigause"/>
      <sheetName val="rigausg"/>
      <sheetName val="rigger1"/>
      <sheetName val="rigger2"/>
      <sheetName val="rigger4"/>
      <sheetName val="rigger5"/>
      <sheetName val="rigger7"/>
      <sheetName val="rigger8"/>
      <sheetName val="rigips int"/>
      <sheetName val="rigger13"/>
      <sheetName val="de e uk"/>
      <sheetName val="gibv uk"/>
      <sheetName val="invs gypbv"/>
      <sheetName val="gyp inv's"/>
      <sheetName val="fuluk3"/>
      <sheetName val="FUL FRANCE re spain"/>
      <sheetName val="FUL DE P"/>
      <sheetName val="FULBETEIL"/>
      <sheetName val="FULBETEIL2"/>
      <sheetName val="fuluk"/>
      <sheetName val="fuluk11"/>
      <sheetName val="ful aus"/>
      <sheetName val="fulfibor"/>
      <sheetName val="FRF RATES"/>
      <sheetName val="DIARY"/>
      <sheetName val="PLCNORTHROC"/>
      <sheetName val="PLCEYAUSTRIA"/>
      <sheetName val="PLCBETEILF"/>
      <sheetName val="FULBETEILA"/>
      <sheetName val="FULBETEILB"/>
      <sheetName val="PLCUKFRF"/>
      <sheetName val="FULUK8"/>
      <sheetName val="Exchange_Rate &amp; Costs"/>
      <sheetName val="tables"/>
      <sheetName val="Input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88.xml><?xml version="1.0" encoding="utf-8"?>
<externalLink xmlns="http://schemas.openxmlformats.org/spreadsheetml/2006/main">
  <externalBook xmlns:r="http://schemas.openxmlformats.org/officeDocument/2006/relationships" r:id="rId1">
    <sheetNames>
      <sheetName val="summary CURRENT"/>
      <sheetName val="summary ALL"/>
      <sheetName val="summary FULMAR"/>
      <sheetName val="summary GERMANY"/>
      <sheetName val="PLCITALIA"/>
      <sheetName val="PLC FRANCE"/>
      <sheetName val="PLC FRANCE re spain"/>
      <sheetName val="PLCISOVERA"/>
      <sheetName val="PLCISOVERB"/>
      <sheetName val="PLCISOVERC"/>
      <sheetName val="PLCISOVERD"/>
      <sheetName val="PLCRIGIPS"/>
      <sheetName val="PLCBPBGBV"/>
      <sheetName val="PLCBPBGBV2"/>
      <sheetName val="INVSBPBGBV1"/>
      <sheetName val="INVSBPBGBV2"/>
      <sheetName val="france invs a"/>
      <sheetName val="FRANCE INVS B"/>
      <sheetName val="isogips invs"/>
      <sheetName val="placo uk1"/>
      <sheetName val="placouk2"/>
      <sheetName val="placouk3"/>
      <sheetName val="placouk4"/>
      <sheetName val="PLACO3+4INT"/>
      <sheetName val="PLACOUK5"/>
      <sheetName val="PLACOUK6"/>
      <sheetName val="PLACOUK7"/>
      <sheetName val="PLACOUK8"/>
      <sheetName val="PLACOUK9"/>
      <sheetName val="PLACOUK10"/>
      <sheetName val="PLACOUK11"/>
      <sheetName val="PLACOUK12"/>
      <sheetName val="PLACOUK13"/>
      <sheetName val="rigausc"/>
      <sheetName val="rigausd"/>
      <sheetName val="rigause"/>
      <sheetName val="RIGAUSF"/>
      <sheetName val="rigausg"/>
      <sheetName val="RIGAUSH"/>
      <sheetName val="RIGAUSI"/>
      <sheetName val="rigger1"/>
      <sheetName val="rigger2"/>
      <sheetName val="rigger3"/>
      <sheetName val="rigger4"/>
      <sheetName val="rigger5"/>
      <sheetName val="rigger6"/>
      <sheetName val="rigger7"/>
      <sheetName val="rigger8"/>
      <sheetName val="rigger9"/>
      <sheetName val="rigger10"/>
      <sheetName val="rigger11"/>
      <sheetName val="rigger12"/>
      <sheetName val="rigips int"/>
      <sheetName val="rigger13"/>
      <sheetName val="GIIRE"/>
      <sheetName val="uk italgips"/>
      <sheetName val="de e uk"/>
      <sheetName val="gibv uk"/>
      <sheetName val="invs gypbv"/>
      <sheetName val="gyp inv's"/>
      <sheetName val="fuluk3"/>
      <sheetName val="FUL FRANCE"/>
      <sheetName val="FUL FRANCE re spain"/>
      <sheetName val="FUL DE P"/>
      <sheetName val="FULBETEIL"/>
      <sheetName val="FULBETEIL2"/>
      <sheetName val="FUL CITIBANK"/>
      <sheetName val="SUMMARY ALL CO'S"/>
      <sheetName val="summary FRANCE"/>
      <sheetName val="summary BV's"/>
      <sheetName val="UKISOVERA"/>
      <sheetName val="UKISOVERB"/>
      <sheetName val="UKISOVERC"/>
      <sheetName val="UKISOVERD"/>
      <sheetName val="UKISOVERE"/>
      <sheetName val="PLCRIGIPSB"/>
      <sheetName val="PLCRIGIPSC"/>
      <sheetName val="PLCBETEILA"/>
      <sheetName val="PLCBETEILB"/>
      <sheetName val="PLCBETEILCHF"/>
      <sheetName val="PLCBETEILD"/>
      <sheetName val="PLCBETEILE"/>
      <sheetName val="PLCGBVDEM"/>
      <sheetName val="PLACOUK14"/>
      <sheetName val="PLACOUK15"/>
      <sheetName val="FULUK4"/>
      <sheetName val="FULUK5"/>
      <sheetName val="FULUK6"/>
      <sheetName val="FULBETEIL-A"/>
      <sheetName val="LOCH ITALY"/>
      <sheetName val="LOCH ITALY B"/>
      <sheetName val="LOCH PLACO"/>
      <sheetName val="CITIBANK CHILE"/>
      <sheetName val="ful italy"/>
      <sheetName val="ful italy 2"/>
      <sheetName val="F4PLCGBP"/>
      <sheetName val="Consultants local currenc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89.xml><?xml version="1.0" encoding="utf-8"?>
<externalLink xmlns="http://schemas.openxmlformats.org/spreadsheetml/2006/main">
  <externalBook xmlns:r="http://schemas.openxmlformats.org/officeDocument/2006/relationships" r:id="rId1">
    <sheetNames>
      <sheetName val="summary ALL"/>
      <sheetName val="plc france re spain"/>
      <sheetName val="plcitalia"/>
      <sheetName val="UKISOVERA"/>
      <sheetName val="plcisovera"/>
      <sheetName val="UKISOVERB"/>
      <sheetName val="plcisoverb"/>
      <sheetName val="UKISOVERC"/>
      <sheetName val="plcisoverc"/>
      <sheetName val="UKISOVERD"/>
      <sheetName val="plcisoverd"/>
      <sheetName val="UKISOVERE"/>
      <sheetName val="plcivsovere"/>
      <sheetName val="UKISOVERF"/>
      <sheetName val="plcisoverf"/>
      <sheetName val="plcisoverg"/>
      <sheetName val="plcisoverh"/>
      <sheetName val="invsbpbgbv1"/>
      <sheetName val="france invs a"/>
      <sheetName val="isogips invs"/>
      <sheetName val="placo uk1"/>
      <sheetName val="placouk2"/>
      <sheetName val="placouk3"/>
      <sheetName val="placouk4"/>
      <sheetName val="rigausc"/>
      <sheetName val="rigausd"/>
      <sheetName val="rigause"/>
      <sheetName val="rigausf"/>
      <sheetName val="rigausg"/>
      <sheetName val="rigaush"/>
      <sheetName val="rigausi"/>
      <sheetName val="rigger1"/>
      <sheetName val="rigger2"/>
      <sheetName val="rigger3"/>
      <sheetName val="rigger4"/>
      <sheetName val="rigger5"/>
      <sheetName val="rigger6"/>
      <sheetName val="rigger7"/>
      <sheetName val="rigger8"/>
      <sheetName val="rigger9"/>
      <sheetName val="rigger10"/>
      <sheetName val="rigger11"/>
      <sheetName val="rigger12"/>
      <sheetName val="rigips int"/>
      <sheetName val="rigger13"/>
      <sheetName val="uk italgips"/>
      <sheetName val="de e uk"/>
      <sheetName val="PLCBPBGBV"/>
      <sheetName val="PLCBPBGBV2"/>
      <sheetName val="PLCGBVDEM"/>
      <sheetName val="PLCGBVDEM2"/>
      <sheetName val="PLCGBVDEM3"/>
      <sheetName val="INVSGBVNLG"/>
      <sheetName val="INVSGBVNLG1"/>
      <sheetName val="gibv uk"/>
      <sheetName val="invs gypbv"/>
      <sheetName val="gyp inv's"/>
      <sheetName val="fuluk3"/>
      <sheetName val="FULUK4"/>
      <sheetName val="FULUK5"/>
      <sheetName val="FULUK6"/>
      <sheetName val="FULUK7"/>
      <sheetName val="FULUK4567"/>
      <sheetName val="fuluk"/>
      <sheetName val="fuluk11"/>
      <sheetName val="FULRECYCLE"/>
      <sheetName val="ful france re spain"/>
      <sheetName val="fulbeteil2"/>
      <sheetName val="bpbgbvful"/>
      <sheetName val="ful italy"/>
      <sheetName val="ful italy 2"/>
      <sheetName val="ful aus"/>
      <sheetName val="fulfibor"/>
      <sheetName val="fuluk2"/>
      <sheetName val="GILBPBFGEUR10M"/>
      <sheetName val="Finance"/>
      <sheetName val="para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90.xml><?xml version="1.0" encoding="utf-8"?>
<externalLink xmlns="http://schemas.openxmlformats.org/spreadsheetml/2006/main">
  <externalBook xmlns:r="http://schemas.openxmlformats.org/officeDocument/2006/relationships" r:id="rId1">
    <sheetNames>
      <sheetName val="SUMMARY ALL CO'S"/>
      <sheetName val="BPBGFPLCEUR"/>
      <sheetName val="BPBGFPLCGBP"/>
      <sheetName val="BPBGFPLCUSD"/>
      <sheetName val="BPBGFPLCSEK"/>
      <sheetName val="GILBPBGFEUR10M"/>
      <sheetName val="GILBPBGF"/>
      <sheetName val="FIN4GRPFIN"/>
      <sheetName val="GRPFINLLC"/>
      <sheetName val="GRPFINMEX1"/>
      <sheetName val="GRPFINMEX2"/>
      <sheetName val="GRPFINMEX3"/>
      <sheetName val="GRPFINPDOB"/>
      <sheetName val="GRPFININD15M"/>
      <sheetName val="GRPFININDUSD20M"/>
      <sheetName val="U_price"/>
      <sheetName val="FUL DE P"/>
      <sheetName val="FUL FRANCE"/>
      <sheetName val="BS"/>
      <sheetName val="PL"/>
      <sheetName val="plcisovera"/>
      <sheetName val="summary ALL"/>
      <sheetName val="ful italy"/>
      <sheetName val="ful italy 2"/>
      <sheetName val="uk italg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91.xml><?xml version="1.0" encoding="utf-8"?>
<externalLink xmlns="http://schemas.openxmlformats.org/spreadsheetml/2006/main">
  <externalBook xmlns:r="http://schemas.openxmlformats.org/officeDocument/2006/relationships" r:id="rId1">
    <sheetNames>
      <sheetName val="Summary"/>
      <sheetName val="Glass_WS"/>
      <sheetName val="Glass_SL"/>
      <sheetName val="Glass_Lami"/>
      <sheetName val="Glass_Temp"/>
      <sheetName val="PVB_WS"/>
      <sheetName val="PVB_Lami"/>
      <sheetName val="ROH_WS"/>
      <sheetName val="ROH_SL"/>
      <sheetName val="ROH_Lami"/>
      <sheetName val="ROH_Temp"/>
      <sheetName val="U_price"/>
      <sheetName val="SUMMARY ALL CO'S"/>
      <sheetName val="plcisovera"/>
      <sheetName val="summary ALL"/>
      <sheetName val="rigausf"/>
      <sheetName val="rigaush"/>
      <sheetName val="ful italy"/>
      <sheetName val="ful italy 2"/>
      <sheetName val="placouk3"/>
      <sheetName val="placouk4"/>
      <sheetName val="rigger10"/>
      <sheetName val="rigger11"/>
      <sheetName val="rigger12"/>
      <sheetName val="rigger3"/>
      <sheetName val="rigger6"/>
      <sheetName val="rigger9"/>
      <sheetName val="uk italgips"/>
      <sheetName val="평가기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92.xml><?xml version="1.0" encoding="utf-8"?>
<externalLink xmlns="http://schemas.openxmlformats.org/spreadsheetml/2006/main">
  <externalBook xmlns:r="http://schemas.openxmlformats.org/officeDocument/2006/relationships" r:id="rId1">
    <sheetNames>
      <sheetName val="Financ. Overview"/>
      <sheetName val="Toolbox"/>
      <sheetName val="Sheet1"/>
      <sheetName val="Sheet2"/>
      <sheetName val="2002年3月份"/>
      <sheetName val="2004年4月份"/>
      <sheetName val="Sheet3"/>
      <sheetName val="XL4Poppy"/>
      <sheetName val="仓储"/>
      <sheetName val="_REF!"/>
      <sheetName val="eqpmad2"/>
      <sheetName val="Financ_ Overview"/>
      <sheetName val="新产品贡献率"/>
      <sheetName val="企业表一"/>
      <sheetName val="M-5A"/>
      <sheetName val="POWER ASSUMPTIONS"/>
      <sheetName val="2002Äê3ÔÂ·Ý"/>
      <sheetName val="2004Äê4ÔÂ·Ý"/>
      <sheetName val="²Ö´¢"/>
      <sheetName val="ÆóÒµ±íÒ»"/>
      <sheetName val="2002_¨º3__¡¤Y"/>
      <sheetName val="2004_¨º4__¡¤Y"/>
      <sheetName val="2_¡ä¡é"/>
      <sheetName val="_¨®¨°¦Ì¡À¨ª¨°_"/>
      <sheetName val="B"/>
      <sheetName val="#REF!"/>
      <sheetName val="GP_AT"/>
      <sheetName val="Breakdown-Intrim"/>
      <sheetName val="关联方及集团内清单"/>
      <sheetName val="调整分录汇总"/>
      <sheetName val="预付清单"/>
      <sheetName val="在建工程设备"/>
      <sheetName val="核算项目余额表"/>
      <sheetName val="财务费用"/>
      <sheetName val="资产负债表及损益表"/>
      <sheetName val="制造费用"/>
      <sheetName val="重要内部交易"/>
      <sheetName val="管理费用"/>
      <sheetName val="目录"/>
      <sheetName val="营业费用"/>
      <sheetName val="包增减变动"/>
      <sheetName val="Financ__Overview"/>
      <sheetName val="Financ__Overview1"/>
      <sheetName val="POWER_ASSUMPTIONS"/>
      <sheetName val="list"/>
      <sheetName val="64151支付情况"/>
      <sheetName val="设定"/>
      <sheetName val="明细分类账"/>
      <sheetName val="Sheet49"/>
      <sheetName val="SW-TEO"/>
      <sheetName val="KKKKKKKK"/>
      <sheetName val="_x005f_x0000__x005f_x0000__x005f_x0000__x005f_x0000__x0"/>
      <sheetName val="_x005f_x005f_x005f_x0000__x005f_x005f_x005f_x0000__x005"/>
      <sheetName val="G.1R-Shou COP Gf"/>
      <sheetName val="Main"/>
      <sheetName val="索赔（按车型）A4"/>
      <sheetName val="制造成本预算表A3"/>
      <sheetName val="销售收入A4"/>
      <sheetName val="销售费用预算表(A4)"/>
      <sheetName val="3-10存货汇总"/>
      <sheetName val="3-1-1现金"/>
      <sheetName val="22号"/>
      <sheetName val="________"/>
      <sheetName val="工时统计"/>
      <sheetName val="YS02-02"/>
      <sheetName val="_x005f_x005f_x005f_x005f_x005f_x005f_x005f_x0000__x005f"/>
      <sheetName val="_x005f_x005f_x005f_x005f_x005f_x005f_x005f_x005f_x005f_x005f_"/>
      <sheetName val="附表２－模具长摊"/>
      <sheetName val="3损益表"/>
      <sheetName val="90檢討稿_實際"/>
      <sheetName val="_x005f_x0000__x005f_x0000__x005"/>
      <sheetName val="_x005f_x005f_x005f_x0000__x005f"/>
      <sheetName val="Economic evaluation - FY98 base"/>
      <sheetName val="分产品销售收入、成本分析表"/>
      <sheetName val="Data"/>
      <sheetName val="ZI-b存货说明书 (2)"/>
      <sheetName val="询证函"/>
      <sheetName val="FXRate"/>
      <sheetName val="费用&amp;成本分类(非路宝)"/>
      <sheetName val="费用&amp;成本(非路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93.xml><?xml version="1.0" encoding="utf-8"?>
<externalLink xmlns="http://schemas.openxmlformats.org/spreadsheetml/2006/main">
  <externalBook xmlns:r="http://schemas.openxmlformats.org/officeDocument/2006/relationships" r:id="rId1">
    <sheetNames>
      <sheetName val="SUMMARY ALL CO'S"/>
      <sheetName val="COMMEUROPE"/>
      <sheetName val="COMMMIDEAST"/>
      <sheetName val="IBSWIPLACO2"/>
      <sheetName val="PLCCOMMUSD"/>
      <sheetName val="PLCGYPSHANG"/>
      <sheetName val="RIGAGPLCEUR2"/>
      <sheetName val="RIGASPLCCZK"/>
      <sheetName val="RIGHUNGPLCHUF"/>
      <sheetName val="PLCSLOVAKIA"/>
      <sheetName val="IBSWIPLC"/>
      <sheetName val="IBSWIPOLSKA"/>
      <sheetName val="BPBGBVPLC3"/>
      <sheetName val="BGIPLCEUR"/>
      <sheetName val="BPBUKPLCEUR"/>
      <sheetName val="PLCBPBGBVROM"/>
      <sheetName val="PLCCOMMGBP3"/>
      <sheetName val="LUXSIMPEUR"/>
      <sheetName val="VALSIMPEUR"/>
      <sheetName val="FIN2SIMP"/>
      <sheetName val="COMMPLCUSD"/>
      <sheetName val="PLCDAVEUR26M"/>
      <sheetName val="PLCITALYEUR18-8M"/>
      <sheetName val="COMMPLCEUR"/>
      <sheetName val="PLCBPBGBVTHB"/>
      <sheetName val="PLCBPBGBV"/>
      <sheetName val="PLCBPBGBV2"/>
      <sheetName val="PLCTHAIGIPSTHB"/>
      <sheetName val="BPBFINCOPLCUSD50M"/>
      <sheetName val="BPBFINCOPLCUSD"/>
      <sheetName val="BPBFINCOCOMM"/>
      <sheetName val="BPBF6PLC2"/>
      <sheetName val="BPBF6PLC"/>
      <sheetName val="PLCCOMMGBP2"/>
      <sheetName val="SIMPPLC"/>
      <sheetName val="PLCFIN5"/>
      <sheetName val="BPBGBVPLC"/>
      <sheetName val="GILEURPLC"/>
      <sheetName val="FORMPLCEUR"/>
      <sheetName val="BPBF4PLCUSD2"/>
      <sheetName val="BGIUK"/>
      <sheetName val="SCONSPLC"/>
      <sheetName val="PLCCOMMGBP330M"/>
      <sheetName val="GYPBENCOMMEUR100M"/>
      <sheetName val="PLCCOMMUSD5M"/>
      <sheetName val="PLCCOMMCHF5M"/>
      <sheetName val="PLCPOLSKA2"/>
      <sheetName val="PLCPOLSKA"/>
      <sheetName val="PLCBULGARIA"/>
      <sheetName val="FIN4BPBLLCUSD"/>
      <sheetName val="FIN4BPBINDIA2"/>
      <sheetName val="FIN4BPBINDIA"/>
      <sheetName val="INDLTDINDGYPUSD7M"/>
      <sheetName val="INDLTDINDGYPUSD20M"/>
      <sheetName val="INDLTDINDGYPUSD11M"/>
      <sheetName val="FIN4INDIAGYPUSD2M"/>
      <sheetName val="PLCMEXGBP"/>
      <sheetName val="FIN4MEXUSD2M"/>
      <sheetName val="FIN4MEXUSD6M"/>
      <sheetName val="FIN4MEXUSD12M"/>
      <sheetName val="BPBF4PDOB2"/>
      <sheetName val="BPBF4PDOB3"/>
      <sheetName val="BPBINVPLC"/>
      <sheetName val="PLCDISTPPL"/>
      <sheetName val="PLCDISTEUR50M"/>
      <sheetName val="BPBF5PLCGBP"/>
      <sheetName val="RIGAGPLCCHF"/>
      <sheetName val="RIGAGPLCEUR"/>
      <sheetName val="LUXSWIRIGAUSEUR"/>
      <sheetName val="BPBF4NORTHROC"/>
      <sheetName val="PLCPHIUSD"/>
      <sheetName val="PLCPHIGBP5M"/>
      <sheetName val="PLCBPBIOGBP200M"/>
      <sheetName val="LUXSWIPLACOEUR18M"/>
      <sheetName val="LUXPLACOEUR1M"/>
      <sheetName val="GYPABPLCSEK"/>
      <sheetName val="LUXPLACOST"/>
      <sheetName val="PLCCOMMGBP"/>
      <sheetName val="GYPIBBPBIB"/>
      <sheetName val="IBSWIPLACO"/>
      <sheetName val="IBSWIBETEIL"/>
      <sheetName val="LUXSWIGYPIB"/>
      <sheetName val="LUXGYPIB"/>
      <sheetName val="BPBFIN3INVS"/>
      <sheetName val="FULMARGBPPLC"/>
      <sheetName val="SIMPEURPLC"/>
      <sheetName val="PLCUKGBP300M"/>
      <sheetName val="BPBHLDGSPLC"/>
      <sheetName val="INDIA"/>
      <sheetName val="FINANCE2PLC"/>
      <sheetName val="PLCSCANSEM"/>
      <sheetName val="PLCSOGGBP"/>
      <sheetName val="VALMARAND436"/>
      <sheetName val="VALMARAND18"/>
      <sheetName val="RIGASPLCCZK2"/>
      <sheetName val="IBERYESOPLACO"/>
      <sheetName val="GILBPBFGEUR10M"/>
      <sheetName val="CODE LIBRARY"/>
      <sheetName val="Financ. Overview"/>
      <sheetName val="Toolbo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Set>
  </externalBook>
</externalLink>
</file>

<file path=xl/externalLinks/externalLink94.xml><?xml version="1.0" encoding="utf-8"?>
<externalLink xmlns="http://schemas.openxmlformats.org/spreadsheetml/2006/main">
  <externalBook xmlns:r="http://schemas.openxmlformats.org/officeDocument/2006/relationships" r:id="rId1">
    <sheetNames>
      <sheetName val="Feuil1"/>
      <sheetName val="Instructions"/>
      <sheetName val="INPUT PG"/>
      <sheetName val="Analysis E06 Vs R05"/>
      <sheetName val="Analysis B07 Vs E06"/>
      <sheetName val="50PG Sales"/>
      <sheetName val="50PG Margins"/>
      <sheetName val="Summary Sales Analysis"/>
      <sheetName val="PL DL"/>
      <sheetName val="MAGNITUDE - EPV"/>
      <sheetName val="PNV ANALYSIS"/>
      <sheetName val="Input RE Analysis"/>
      <sheetName val="RE ANALYSIS"/>
      <sheetName val="Summary RE Analysis"/>
      <sheetName val="COMMENTS"/>
      <sheetName val="Variance"/>
      <sheetName val="plcitalia"/>
      <sheetName val="invsbpbgbv1"/>
      <sheetName val="GILBPBGFEUR10M"/>
      <sheetName val="GILBPBGF"/>
      <sheetName val="Dollars"/>
      <sheetName val="SUMMARY ALL C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5.xml><?xml version="1.0" encoding="utf-8"?>
<externalLink xmlns="http://schemas.openxmlformats.org/spreadsheetml/2006/main">
  <externalBook xmlns:r="http://schemas.openxmlformats.org/officeDocument/2006/relationships" r:id="rId1">
    <sheetNames>
      <sheetName val="plcitalia"/>
      <sheetName val="invsbpbgbv1"/>
      <sheetName val="rigausi"/>
      <sheetName val="summary ALL"/>
      <sheetName val="plc france re spain"/>
      <sheetName val="plcisovera"/>
      <sheetName val="plcisoverb"/>
      <sheetName val="plcisoverc"/>
      <sheetName val="plcisoverd"/>
      <sheetName val="plcivsovere"/>
      <sheetName val="plcisoverf"/>
      <sheetName val="plcisoverg"/>
      <sheetName val="plcisoverh"/>
      <sheetName val="france invs a"/>
      <sheetName val="isogips invs"/>
      <sheetName val="placo uk1"/>
      <sheetName val="placouk2"/>
      <sheetName val="placouk3"/>
      <sheetName val="placouk4"/>
      <sheetName val="rigausc"/>
      <sheetName val="rigausd"/>
      <sheetName val="rigause"/>
      <sheetName val="rigausf"/>
      <sheetName val="rigausg"/>
      <sheetName val="rigaush"/>
      <sheetName val="UKISOVERA"/>
      <sheetName val="UKISOVERB"/>
      <sheetName val="UKISOVERC"/>
      <sheetName val="UKISOVERD"/>
      <sheetName val="UKISOVERE"/>
      <sheetName val="UKISOVERF"/>
      <sheetName val="rigger1"/>
      <sheetName val="rigger2"/>
      <sheetName val="rigger3"/>
      <sheetName val="rigger4"/>
      <sheetName val="rigger5"/>
      <sheetName val="rigger6"/>
      <sheetName val="rigger7"/>
      <sheetName val="rigger8"/>
      <sheetName val="rigger9"/>
      <sheetName val="rigger10"/>
      <sheetName val="rigger11"/>
      <sheetName val="rigger12"/>
      <sheetName val="rigips int"/>
      <sheetName val="rigger13"/>
      <sheetName val="uk italgips"/>
      <sheetName val="de e uk"/>
      <sheetName val="PLCBPBGBV"/>
      <sheetName val="PLCBPBGBV2"/>
      <sheetName val="PLCGBVDEM"/>
      <sheetName val="PLCGBVDEM2"/>
      <sheetName val="PLCGBVDEM3"/>
      <sheetName val="INVSGBVNLG"/>
      <sheetName val="INVSGBVNLG1"/>
      <sheetName val="gibv uk"/>
      <sheetName val="invs gypbv"/>
      <sheetName val="gyp inv's"/>
      <sheetName val="fuluk3"/>
      <sheetName val="FULUK4"/>
      <sheetName val="FULUK5"/>
      <sheetName val="FULUK6"/>
      <sheetName val="FULUK7"/>
      <sheetName val="FULRECYCLE"/>
      <sheetName val="ful france re spain"/>
      <sheetName val="fuluk"/>
      <sheetName val="fulbeteil2"/>
      <sheetName val="bpbgbvful"/>
      <sheetName val="fuluk11"/>
      <sheetName val="ful italy"/>
      <sheetName val="ful italy 2"/>
      <sheetName val="ful aus"/>
      <sheetName val="fulfibor"/>
      <sheetName val="FULUK4567"/>
      <sheetName val="fuluk2"/>
      <sheetName val="Info"/>
      <sheetName val="U_price"/>
      <sheetName val="PRC F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96.xml><?xml version="1.0" encoding="utf-8"?>
<externalLink xmlns="http://schemas.openxmlformats.org/spreadsheetml/2006/main">
  <externalBook xmlns:r="http://schemas.openxmlformats.org/officeDocument/2006/relationships" r:id="rId1">
    <sheetNames>
      <sheetName val="Feuil1"/>
      <sheetName val="Instructions"/>
      <sheetName val="Summary Cumulated"/>
      <sheetName val="Summary Monthly"/>
      <sheetName val="Sales"/>
      <sheetName val="Margins"/>
      <sheetName val="R05 Vs B05"/>
      <sheetName val="R05 Vs R04"/>
      <sheetName val="M Vs M-1"/>
      <sheetName val="Variance"/>
      <sheetName val="INDEBTEDNESS RFQ4"/>
      <sheetName val="plcitalia"/>
      <sheetName val="invsbpbgbv1"/>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7.xml><?xml version="1.0" encoding="utf-8"?>
<externalLink xmlns="http://schemas.openxmlformats.org/spreadsheetml/2006/main">
  <externalBook xmlns:r="http://schemas.openxmlformats.org/officeDocument/2006/relationships" r:id="rId1">
    <sheetNames>
      <sheetName val="Feuil5"/>
      <sheetName val="Feuil4"/>
      <sheetName val="MENU"/>
      <sheetName val="InputRF2 P&amp;L"/>
      <sheetName val="InputRF2 Key indicators"/>
      <sheetName val="RF2 Restitution"/>
      <sheetName val="INDEBTEDNESS RFQ2"/>
      <sheetName val="INDEBTEDNESS RFQ3"/>
      <sheetName val="INDEBTEDNESS RFQ4"/>
      <sheetName val="PL01"/>
      <sheetName val="Info"/>
      <sheetName val="General"/>
      <sheetName val="Instruc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8.xml><?xml version="1.0" encoding="utf-8"?>
<externalLink xmlns="http://schemas.openxmlformats.org/spreadsheetml/2006/main">
  <externalBook xmlns:r="http://schemas.openxmlformats.org/officeDocument/2006/relationships" r:id="rId1">
    <sheetNames>
      <sheetName val="A&amp;P"/>
      <sheetName val="3.13-Capex"/>
      <sheetName val="SIF-Budget08"/>
      <sheetName val="M-Budget08"/>
      <sheetName val="R-JV"/>
      <sheetName val="RF-JV"/>
      <sheetName val="R-fcf"/>
      <sheetName val="BS"/>
      <sheetName val="Production"/>
      <sheetName val="PL-Monthly"/>
      <sheetName val="PL-Monthly-Accu"/>
      <sheetName val="PL01"/>
      <sheetName val="PL02"/>
      <sheetName val="PL03"/>
      <sheetName val="PL04"/>
      <sheetName val="PL05"/>
      <sheetName val="PL06"/>
      <sheetName val="PL07"/>
      <sheetName val="PL08"/>
      <sheetName val="PL09"/>
      <sheetName val="PL10"/>
      <sheetName val="PL11"/>
      <sheetName val="PL12"/>
      <sheetName val="Others"/>
      <sheetName val="Sales"/>
      <sheetName val="PVM B07"/>
      <sheetName val="DB-total"/>
      <sheetName val="DB-GM"/>
      <sheetName val="DB-FN"/>
      <sheetName val="DB-OP"/>
      <sheetName val="DB-Project"/>
      <sheetName val="DB-MK"/>
      <sheetName val="DB-MK P"/>
      <sheetName val="DB-Distribution"/>
      <sheetName val="DB-Logistics"/>
      <sheetName val="DB-Production"/>
      <sheetName val="DB-Technical"/>
      <sheetName val="DB-Others"/>
      <sheetName val="Sales-SKU"/>
      <sheetName val="Welcome"/>
      <sheetName val="Param"/>
      <sheetName val="Act"/>
      <sheetName val="存货汇总表10"/>
      <sheetName val="INDEBTEDNESS RFQ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99.xml><?xml version="1.0" encoding="utf-8"?>
<externalLink xmlns="http://schemas.openxmlformats.org/spreadsheetml/2006/main">
  <externalBook xmlns:r="http://schemas.openxmlformats.org/officeDocument/2006/relationships" r:id="rId1">
    <sheetNames>
      <sheetName val="Summary"/>
      <sheetName val="Readme"/>
      <sheetName val="m2"/>
      <sheetName val="sales"/>
      <sheetName val="PA"/>
      <sheetName val="VAR 2005.08 YTD"/>
      <sheetName val="2005.08 YTD"/>
      <sheetName val="2005.12 PC"/>
      <sheetName val="2005.12 PC (2)"/>
      <sheetName val="VAR 2005.12 YTD"/>
      <sheetName val="Welcome"/>
      <sheetName val="Param"/>
      <sheetName val="Traduction"/>
      <sheetName val="RESULT"/>
      <sheetName val="MARGE"/>
      <sheetName val="BL"/>
      <sheetName val="Dif"/>
      <sheetName val="Dif materials"/>
      <sheetName val="MAR_Syn"/>
      <sheetName val="MAR Dat"/>
      <sheetName val="Read Me"/>
      <sheetName val="Ana_PNV"/>
      <sheetName val="2002.12.31Leasehold MVT"/>
      <sheetName val="Interro"/>
      <sheetName val="PL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00.xml><?xml version="1.0" encoding="utf-8"?>
<externalLink xmlns="http://schemas.openxmlformats.org/spreadsheetml/2006/main">
  <externalBook xmlns:r="http://schemas.openxmlformats.org/officeDocument/2006/relationships" r:id="rId1">
    <sheetNames>
      <sheetName val="drop_down"/>
      <sheetName val="Read Me"/>
      <sheetName val="Jan-without NR"/>
      <sheetName val="Jan-with NR"/>
      <sheetName val="Feb-Without NR"/>
      <sheetName val="Feb-With NR"/>
      <sheetName val="March-Without NR"/>
      <sheetName val="March-With NR"/>
      <sheetName val="April-Without NR"/>
      <sheetName val="April-With NR"/>
      <sheetName val="May-Without NR"/>
      <sheetName val="May-With NR"/>
      <sheetName val="June-Without NR"/>
      <sheetName val="June-With NR"/>
      <sheetName val="July-Without NR"/>
      <sheetName val="July-With NR"/>
      <sheetName val="Chine (Cumul)"/>
      <sheetName val="PL01"/>
      <sheetName val="Total_A(A&amp;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01.xml><?xml version="1.0" encoding="utf-8"?>
<externalLink xmlns="http://schemas.openxmlformats.org/spreadsheetml/2006/main">
  <externalBook xmlns:r="http://schemas.openxmlformats.org/officeDocument/2006/relationships" r:id="rId1">
    <sheetNames>
      <sheetName val="Sheet1"/>
      <sheetName val="ECO-1"/>
      <sheetName val="ECO-2"/>
      <sheetName val="PNV"/>
      <sheetName val="RE"/>
      <sheetName val="RNS"/>
      <sheetName val="MNA"/>
      <sheetName val="DETTE+EFFECTIFS"/>
      <sheetName val="Summary"/>
      <sheetName val="Chine (Mois)"/>
      <sheetName val="Chine (Cumul)"/>
      <sheetName val="Cash Flow"/>
      <sheetName val="WCR"/>
      <sheetName val="WCR Per days"/>
      <sheetName val="Financial Cost"/>
      <sheetName val="R80 R90"/>
      <sheetName val="Welcome"/>
      <sheetName val="Param"/>
      <sheetName val="production dept"/>
      <sheetName val="drop_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02.xml><?xml version="1.0" encoding="utf-8"?>
<externalLink xmlns="http://schemas.openxmlformats.org/spreadsheetml/2006/main">
  <externalBook xmlns:r="http://schemas.openxmlformats.org/officeDocument/2006/relationships" r:id="rId1">
    <sheetNames>
      <sheetName val="Financial highlight"/>
      <sheetName val="Dilution_analysis"/>
      <sheetName val="Price_assumptions"/>
      <sheetName val="Financial highligts"/>
      <sheetName val="Profits analysis"/>
      <sheetName val="Valuation analysis"/>
      <sheetName val="Comparables analysis"/>
      <sheetName val="Contribution projects"/>
      <sheetName val="Critical issues"/>
      <sheetName val="Yearly"/>
      <sheetName val="Setting"/>
      <sheetName val="Global"/>
      <sheetName val="Detail"/>
      <sheetName val="Consolidate"/>
      <sheetName val="output"/>
      <sheetName val="2009"/>
      <sheetName val="2010"/>
      <sheetName val="Summary"/>
      <sheetName val="GFA"/>
      <sheetName val="Control"/>
      <sheetName val="Bank Debt"/>
      <sheetName val="New Report"/>
      <sheetName val="Financial statements"/>
      <sheetName val="Hotel input"/>
      <sheetName val="Cash to JV"/>
      <sheetName val="Ratio output"/>
      <sheetName val="Roadshow presentation"/>
      <sheetName val="Invest CF"/>
      <sheetName val="Credit credential"/>
      <sheetName val="Mgt_Assumption_Summary"/>
      <sheetName val="Chinese Summary"/>
      <sheetName val="Forecast panel (2009)"/>
      <sheetName val="Forecast panel (2010)"/>
      <sheetName val="Forecast panel (2011)"/>
      <sheetName val="Forecast panel (2012)"/>
      <sheetName val="Forecast panel (2013)"/>
      <sheetName val="Holdco"/>
      <sheetName val="P1"/>
      <sheetName val="P2"/>
      <sheetName val="P3"/>
      <sheetName val="P4"/>
      <sheetName val="P5"/>
      <sheetName val="P6"/>
      <sheetName val="P7"/>
      <sheetName val="P8"/>
      <sheetName val="P9"/>
      <sheetName val="P10"/>
      <sheetName val="P11"/>
      <sheetName val="P12"/>
      <sheetName val="P13"/>
      <sheetName val="P14"/>
      <sheetName val="P15"/>
      <sheetName val="P16"/>
      <sheetName val="P17"/>
      <sheetName val="P18"/>
      <sheetName val="P19"/>
      <sheetName val="P20"/>
      <sheetName val="P21"/>
      <sheetName val="P22"/>
      <sheetName val="P23"/>
      <sheetName val="P24"/>
      <sheetName val="P25"/>
      <sheetName val="P26"/>
      <sheetName val="P27"/>
      <sheetName val="P28"/>
      <sheetName val="P29"/>
      <sheetName val="P30"/>
      <sheetName val="P31"/>
      <sheetName val="P32"/>
      <sheetName val="P33"/>
      <sheetName val="P34"/>
      <sheetName val="P35"/>
      <sheetName val="P36"/>
      <sheetName val="P37"/>
      <sheetName val="P38"/>
      <sheetName val="P39"/>
      <sheetName val="P40"/>
      <sheetName val="P41"/>
      <sheetName val="P42"/>
      <sheetName val="P43"/>
      <sheetName val="P44"/>
      <sheetName val="P45"/>
      <sheetName val="P46"/>
      <sheetName val="P47"/>
      <sheetName val="P48"/>
      <sheetName val="P49"/>
      <sheetName val="P50"/>
      <sheetName val="P51"/>
      <sheetName val="P52"/>
      <sheetName val="P53"/>
      <sheetName val="P54"/>
      <sheetName val="P55"/>
      <sheetName val="P56"/>
      <sheetName val="P57"/>
      <sheetName val="P58"/>
      <sheetName val="P59"/>
      <sheetName val="P60"/>
      <sheetName val="P61"/>
      <sheetName val="P62"/>
      <sheetName val="P63"/>
      <sheetName val="P64"/>
      <sheetName val="P65"/>
      <sheetName val="P66"/>
      <sheetName val="P67"/>
      <sheetName val="P68"/>
      <sheetName val="P69"/>
      <sheetName val="P70"/>
      <sheetName val="P71"/>
      <sheetName val="P72"/>
      <sheetName val="P73"/>
      <sheetName val="P74"/>
      <sheetName val="P75"/>
      <sheetName val="P76"/>
      <sheetName val="P77"/>
      <sheetName val="P78"/>
      <sheetName val="P79"/>
      <sheetName val="P80"/>
      <sheetName val="P81"/>
      <sheetName val="P82"/>
      <sheetName val="P83"/>
      <sheetName val="P84"/>
      <sheetName val="P85"/>
      <sheetName val="P86"/>
      <sheetName val="P87"/>
      <sheetName val="P88"/>
      <sheetName val="P89"/>
      <sheetName val="P90"/>
      <sheetName val="P91"/>
      <sheetName val="P92"/>
      <sheetName val="P93"/>
      <sheetName val="P94"/>
      <sheetName val="P95"/>
      <sheetName val="P96"/>
      <sheetName val="P97"/>
      <sheetName val="P98"/>
      <sheetName val="P99"/>
      <sheetName val="P100"/>
      <sheetName val="P101"/>
      <sheetName val="P102"/>
      <sheetName val="P103"/>
      <sheetName val="P104"/>
      <sheetName val="P105"/>
      <sheetName val="P106"/>
      <sheetName val="P107"/>
      <sheetName val="P108"/>
      <sheetName val="P109"/>
      <sheetName val="P110"/>
      <sheetName val="P111"/>
      <sheetName val="P112"/>
      <sheetName val="P113"/>
      <sheetName val="P114"/>
      <sheetName val="P115"/>
      <sheetName val="P116"/>
      <sheetName val="P117"/>
      <sheetName val="P118"/>
      <sheetName val="P119"/>
      <sheetName val="P120"/>
      <sheetName val="P121"/>
      <sheetName val="P122"/>
      <sheetName val="P123"/>
      <sheetName val="P124"/>
      <sheetName val="P125"/>
      <sheetName val="P126"/>
      <sheetName val="P127"/>
      <sheetName val="P128"/>
      <sheetName val="P129"/>
      <sheetName val="P130"/>
      <sheetName val="P131"/>
      <sheetName val="P132"/>
      <sheetName val="P133"/>
      <sheetName val="P134"/>
      <sheetName val="P135"/>
      <sheetName val="P136"/>
      <sheetName val="P137"/>
      <sheetName val="P138"/>
      <sheetName val="P139"/>
      <sheetName val="P140"/>
      <sheetName val="P141"/>
      <sheetName val="P142"/>
      <sheetName val="P143"/>
      <sheetName val="P144"/>
      <sheetName val="P145"/>
      <sheetName val="P146"/>
      <sheetName val="P147"/>
      <sheetName val="P148"/>
      <sheetName val="P149"/>
      <sheetName val="P150"/>
      <sheetName val="P151"/>
      <sheetName val="P152"/>
      <sheetName val="P153"/>
      <sheetName val="P154"/>
      <sheetName val="P155"/>
      <sheetName val="P156"/>
      <sheetName val="P157"/>
      <sheetName val="P158"/>
      <sheetName val="P159"/>
      <sheetName val="P160"/>
      <sheetName val="P161"/>
      <sheetName val="P162"/>
      <sheetName val="P163"/>
      <sheetName val="P164"/>
      <sheetName val="P165"/>
      <sheetName val="P166"/>
      <sheetName val="P167"/>
      <sheetName val="P168"/>
      <sheetName val="P169"/>
      <sheetName val="P170"/>
      <sheetName val="P171"/>
      <sheetName val="P172"/>
      <sheetName val="P173"/>
      <sheetName val="P174"/>
      <sheetName val="P175"/>
      <sheetName val="P176"/>
      <sheetName val="P177"/>
      <sheetName val="P178"/>
      <sheetName val="P179"/>
      <sheetName val="P180"/>
      <sheetName val="P2009"/>
      <sheetName val="P2010"/>
      <sheetName val="P2011"/>
      <sheetName val="P2012"/>
      <sheetName val="P2013"/>
      <sheetName val="P199"/>
      <sheetName val="P200"/>
      <sheetName val="P201"/>
      <sheetName val="P202"/>
      <sheetName val="P203"/>
      <sheetName val="P204"/>
      <sheetName val="P205"/>
      <sheetName val="P206"/>
      <sheetName val="P207"/>
      <sheetName val="P208"/>
      <sheetName val="P209"/>
      <sheetName val="P210"/>
      <sheetName val="P211"/>
      <sheetName val="P212"/>
      <sheetName val="P213"/>
      <sheetName val="P214"/>
      <sheetName val="P215"/>
      <sheetName val="P216"/>
      <sheetName val="P217"/>
      <sheetName val="P218"/>
      <sheetName val="P219"/>
      <sheetName val="P220"/>
      <sheetName val="P221"/>
      <sheetName val="P222"/>
      <sheetName val="P223"/>
      <sheetName val="P224"/>
      <sheetName val="P225"/>
      <sheetName val="P226"/>
      <sheetName val="P227"/>
      <sheetName val="P228"/>
      <sheetName val="P229"/>
      <sheetName val="P230"/>
      <sheetName val="P231"/>
      <sheetName val="P232"/>
      <sheetName val="P233"/>
      <sheetName val="P234"/>
      <sheetName val="P235"/>
      <sheetName val="P236"/>
      <sheetName val="P237"/>
      <sheetName val="P238"/>
      <sheetName val="P239"/>
      <sheetName val="P240"/>
      <sheetName val="P241"/>
      <sheetName val="P242"/>
      <sheetName val="P243"/>
      <sheetName val="P244"/>
      <sheetName val="P245"/>
      <sheetName val="P246"/>
      <sheetName val="P247"/>
      <sheetName val="P248"/>
      <sheetName val="P249"/>
      <sheetName val="P250"/>
      <sheetName val="P251"/>
      <sheetName val="P252"/>
      <sheetName val="P253"/>
      <sheetName val="P254"/>
      <sheetName val="P255"/>
      <sheetName val="P256"/>
      <sheetName val="P257"/>
      <sheetName val="P258"/>
      <sheetName val="P259"/>
      <sheetName val="P260"/>
      <sheetName val="P261"/>
      <sheetName val="P262"/>
      <sheetName val="P263"/>
      <sheetName val="P264"/>
      <sheetName val="P265"/>
      <sheetName val="P266"/>
      <sheetName val="P267"/>
      <sheetName val="P268"/>
      <sheetName val="P269"/>
      <sheetName val="P270"/>
      <sheetName val="P271"/>
      <sheetName val="P272"/>
      <sheetName val="P273"/>
      <sheetName val="P274"/>
      <sheetName val="P275"/>
      <sheetName val="P276"/>
      <sheetName val="P277"/>
      <sheetName val="P278"/>
      <sheetName val="P279"/>
      <sheetName val="P280"/>
      <sheetName val="P281"/>
      <sheetName val="P282"/>
      <sheetName val="P283"/>
      <sheetName val="P284"/>
      <sheetName val="P285"/>
      <sheetName val="P286"/>
      <sheetName val="P287"/>
      <sheetName val="P288"/>
      <sheetName val="P289"/>
      <sheetName val="P290"/>
      <sheetName val="P291"/>
      <sheetName val="P292"/>
      <sheetName val="P293"/>
      <sheetName val="P294"/>
      <sheetName val="P295"/>
      <sheetName val="P296"/>
      <sheetName val="P297"/>
      <sheetName val="P298"/>
      <sheetName val="P299"/>
      <sheetName val="P300"/>
      <sheetName val="P400"/>
      <sheetName val="2007 ke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Set>
  </externalBook>
</externalLink>
</file>

<file path=xl/externalLinks/externalLink103.xml><?xml version="1.0" encoding="utf-8"?>
<externalLink xmlns="http://schemas.openxmlformats.org/spreadsheetml/2006/main">
  <externalBook xmlns:r="http://schemas.openxmlformats.org/officeDocument/2006/relationships" r:id="rId1">
    <sheetNames>
      <sheetName val="M0"/>
      <sheetName val="M1"/>
      <sheetName val="M2"/>
      <sheetName val="M3"/>
      <sheetName val="M4"/>
      <sheetName val="M5"/>
      <sheetName val="M6"/>
      <sheetName val="SUPP1"/>
      <sheetName val="Working1"/>
      <sheetName val="Working2"/>
      <sheetName val="Working3"/>
      <sheetName val="IGL Shares"/>
      <sheetName val="Variables"/>
      <sheetName val="Print"/>
      <sheetName val="Format"/>
      <sheetName val="Library Procedures"/>
      <sheetName val="Total"/>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4.xml><?xml version="1.0" encoding="utf-8"?>
<externalLink xmlns="http://schemas.openxmlformats.org/spreadsheetml/2006/main">
  <externalBook xmlns:r="http://schemas.openxmlformats.org/officeDocument/2006/relationships" r:id="rId1">
    <sheetNames>
      <sheetName val="Library Procedures"/>
      <sheetName val="Planning meeting"/>
      <sheetName val="Sheet2"/>
      <sheetName val="Results Template “结果”模板"/>
      <sheetName val="tbsh07"/>
      <sheetName val="tbsh08"/>
      <sheetName val="tbsh09"/>
      <sheetName val="Sales by Client"/>
      <sheetName val="预提费用 930"/>
      <sheetName val="未交增值"/>
      <sheetName val="城建税"/>
      <sheetName val="个税"/>
      <sheetName val="教育费"/>
      <sheetName val="地方教育费附加"/>
      <sheetName val="tbdl07"/>
      <sheetName val="tbdl08"/>
      <sheetName val="tbdl09"/>
      <sheetName val="FSM"/>
      <sheetName val="科目余额表"/>
      <sheetName val="Non-Statistical Sampling Master"/>
      <sheetName val="Two Step Revenue Testing Master"/>
      <sheetName val="Global Data"/>
      <sheetName val="OP-final"/>
      <sheetName val="Assumption"/>
      <sheetName val="Mall&amp;CPD"/>
      <sheetName val="Menu"/>
      <sheetName val="Cap.emp-Free cash Projet XYZ"/>
      <sheetName val="Re test depreciation"/>
      <sheetName val="Drop Down"/>
      <sheetName val="Sheet4"/>
      <sheetName val="控制sheet"/>
      <sheetName val="AR"/>
      <sheetName val="BT明细分类账"/>
      <sheetName val="MR_BS"/>
      <sheetName val="设备部房屋"/>
      <sheetName val="资产负债表"/>
      <sheetName val="2004 SAD#13 Supporting"/>
      <sheetName val="US Codes"/>
      <sheetName val="G6-1A (2005)"/>
      <sheetName val="XL4Poppy"/>
      <sheetName val="UFPrn20050811181903"/>
      <sheetName val="报表项目名称"/>
      <sheetName val="Selling"/>
      <sheetName val="制造费用"/>
      <sheetName val="财务费用"/>
      <sheetName val="资产负债表及损益表"/>
      <sheetName val="Invested Capital"/>
      <sheetName val="Sheet1"/>
      <sheetName val="Prepaid Exp (NA)"/>
      <sheetName val="hdcnt 3"/>
      <sheetName val="Assump"/>
      <sheetName val="exchange rate"/>
      <sheetName val="SL - Determine audit strategy a"/>
      <sheetName val="W"/>
      <sheetName val="JS"/>
      <sheetName val="08完工百分比测试"/>
      <sheetName val="样本设计"/>
      <sheetName val="汇率测试"/>
      <sheetName val="期后测试"/>
      <sheetName val="ar备份"/>
      <sheetName val="lookup"/>
      <sheetName val="ARP-U501"/>
      <sheetName val="Gewinn"/>
      <sheetName val="Balance Sheet"/>
      <sheetName val="volume"/>
      <sheetName val="Details"/>
      <sheetName val="Sheet5"/>
      <sheetName val="AR Aging for CS"/>
      <sheetName val="TB-HWM"/>
      <sheetName val="Base info"/>
      <sheetName val="scratch"/>
      <sheetName val="Comm"/>
      <sheetName val="Summary P &amp; L"/>
      <sheetName val="Overheads"/>
      <sheetName val="07KM"/>
      <sheetName val="LK01"/>
      <sheetName val="Dic"/>
      <sheetName val="Breakdown"/>
      <sheetName val="PRC 13"/>
      <sheetName val="填表说明"/>
      <sheetName val="填写说明"/>
      <sheetName val="Repayment Summary"/>
      <sheetName val="12.Taxes payable"/>
      <sheetName val="22.Notes to consolidated cashfl"/>
      <sheetName val="2.AR"/>
      <sheetName val="Consolidated BS"/>
      <sheetName val="Consolidated CF"/>
      <sheetName val="Parameters"/>
      <sheetName val="安全服务"/>
      <sheetName val="4.1拆出资金"/>
      <sheetName val="Currencies"/>
      <sheetName val="Foreign exchange"/>
      <sheetName val="May12"/>
      <sheetName val="CONTENTS"/>
      <sheetName val="Work copy"/>
      <sheetName val="PL By Qtr-AfterElim"/>
      <sheetName val="PL-Qtr"/>
      <sheetName val="Spending_Qtr"/>
      <sheetName val="IS Summary-96"/>
      <sheetName val="固定资产预测"/>
      <sheetName val="Appendx all data"/>
      <sheetName val="(PBC) GL Oct 2018"/>
      <sheetName val="ocean voyage"/>
      <sheetName val="Access360 - PP"/>
      <sheetName val="FS"/>
      <sheetName val="SP"/>
      <sheetName val="mmta99"/>
      <sheetName val="Deferred tax 14year end"/>
      <sheetName val="SH"/>
      <sheetName val="OT Calculation"/>
      <sheetName val="Salaries"/>
      <sheetName val="120005 Accounts Receivable"/>
      <sheetName val="银行(基本资料)"/>
      <sheetName val="数据验证"/>
      <sheetName val="Database"/>
      <sheetName val="drop_down"/>
      <sheetName val="Interi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105.xml><?xml version="1.0" encoding="utf-8"?>
<externalLink xmlns="http://schemas.openxmlformats.org/spreadsheetml/2006/main">
  <externalBook xmlns:r="http://schemas.openxmlformats.org/officeDocument/2006/relationships" r:id="rId1">
    <sheetNames>
      <sheetName val="Library Procedures"/>
      <sheetName val="Conclusion Analytics"/>
      <sheetName val="Combined Analytics"/>
      <sheetName val="FULBETEIL-A"/>
      <sheetName val="FULFRANCE"/>
      <sheetName val="FUL CITIBANK"/>
      <sheetName val="PLC FRANCE"/>
      <sheetName val="Chine (Cumul)"/>
      <sheetName val="Summary"/>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6.xml><?xml version="1.0" encoding="utf-8"?>
<externalLink xmlns="http://schemas.openxmlformats.org/spreadsheetml/2006/main">
  <externalBook xmlns:r="http://schemas.openxmlformats.org/officeDocument/2006/relationships" r:id="rId1">
    <sheetNames>
      <sheetName val="Library Procedures"/>
      <sheetName val="Disclosure 19"/>
      <sheetName val="Payroll 乐驾1912"/>
      <sheetName val="Payroll 乐驾 2018"/>
      <sheetName val="工资&amp;奖金Cutoff"/>
      <sheetName val="原TT调整"/>
      <sheetName val="Payroll 乐驾 2018 原版2"/>
      <sheetName val="Payroll 乐驾 2018原版"/>
      <sheetName val="Mapping1912"/>
      <sheetName val="Payroll 深圳车萝卜1912"/>
      <sheetName val="Payroll 乐驾1909"/>
      <sheetName val="Mapping1909"/>
      <sheetName val="LS 18+17"/>
      <sheetName val="乐驾"/>
      <sheetName val="Lead schedule"/>
      <sheetName val="-SH"/>
      <sheetName val="-GZ"/>
      <sheetName val="-SZ"/>
      <sheetName val="-WZ"/>
      <sheetName val="OTA"/>
      <sheetName val="FMT"/>
      <sheetName val="CDFMA"/>
      <sheetName val="NJFMA"/>
      <sheetName val="WHFMA"/>
      <sheetName val="Summary"/>
      <sheetName val="-BJ"/>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07.xml><?xml version="1.0" encoding="utf-8"?>
<externalLink xmlns="http://schemas.openxmlformats.org/spreadsheetml/2006/main">
  <externalBook xmlns:r="http://schemas.openxmlformats.org/officeDocument/2006/relationships" r:id="rId1">
    <sheetNames>
      <sheetName val="Library Procedures"/>
      <sheetName val="Dis 合并-HK"/>
      <sheetName val="Dis 母公司-HK "/>
      <sheetName val="CF Notes-HK"/>
      <sheetName val="DIS 详细版"/>
      <sheetName val="DIS合并-10. 固定资产"/>
      <sheetName val="DIS母公司-17. 固定资产"/>
      <sheetName val="FA MVT账面 "/>
      <sheetName val="处置营业外分类"/>
      <sheetName val="LS17"/>
      <sheetName val="LS18"/>
      <sheetName val="LS19"/>
      <sheetName val="Dis减少movement取数"/>
      <sheetName val="17-19批次梳理"/>
      <sheetName val="ADJ summary-1718"/>
      <sheetName val="ADJ summary-19"/>
      <sheetName val="LS20.6"/>
      <sheetName val="用户售宝转出"/>
      <sheetName val="SAD-17-20"/>
      <sheetName val="LS17-19"/>
      <sheetName val="20201231批次梳理"/>
      <sheetName val="Sheet5"/>
      <sheetName val="LS20.1231"/>
      <sheetName val="品质扣款转回"/>
      <sheetName val="销售代理商转回（PPE减少部分）"/>
      <sheetName val="二清转回"/>
      <sheetName val="其余代理商回购部分"/>
      <sheetName val="代理商售宝补记"/>
      <sheetName val="代理商销售转变做法"/>
      <sheetName val="Sheet4"/>
      <sheetName val="CJE-Summary（客户版） 17-19"/>
      <sheetName val="Sheet2"/>
      <sheetName val="CJE总结及check"/>
      <sheetName val="做账梳理及问题"/>
      <sheetName val="采购代下单汇总"/>
      <sheetName val="PV分析"/>
      <sheetName val="供应商召回"/>
      <sheetName val="桌面&amp;2g设备减值及处置"/>
      <sheetName val="20.6批次梳理"/>
      <sheetName val="Sheet3"/>
      <sheetName val="人为不良充电宝减值&amp;报废"/>
      <sheetName val="CJE-summary（TT版）-17-19"/>
      <sheetName val="209年遗失新"/>
      <sheetName val="20年二清充电宝回购"/>
      <sheetName val="设备分类明细930"/>
      <sheetName val="设备分类明细201231"/>
      <sheetName val="设备分类明细19"/>
      <sheetName val="标准柜机 19"/>
      <sheetName val="倒减遗失梳理&gt;&gt;"/>
      <sheetName val="181231遗失"/>
      <sheetName val="191231遗失"/>
      <sheetName val="20201231遗失"/>
      <sheetName val="分季度遗失数据"/>
      <sheetName val="206遗失"/>
      <sheetName val="209遗失"/>
      <sheetName val="期后找回"/>
      <sheetName val="930遗失 "/>
      <sheetName val="630"/>
      <sheetName val="930后又活跃"/>
      <sheetName val="口径修改"/>
      <sheetName val="Sheet1"/>
      <sheetName val="20201231后又活跃"/>
      <sheetName val="分季度遗失数据 -back"/>
      <sheetName val="Work Summary"/>
      <sheetName val="其他设备&gt;&gt;"/>
      <sheetName val="研发设备 FY17-20"/>
      <sheetName val="办公设备17-20"/>
      <sheetName val="Verify&gt;&gt;"/>
      <sheetName val="台账结算toJE"/>
      <sheetName val="台账数量to系统"/>
      <sheetName val="For DT&gt;&gt;"/>
      <sheetName val="DTL-盒子宝1231"/>
      <sheetName val="DTL-盒子宝630"/>
      <sheetName val="DIS&lt;&lt;"/>
      <sheetName val="LS&lt;&lt;"/>
      <sheetName val="ADJ汇总&lt;&lt;"/>
      <sheetName val="PPE新增&lt;&lt;"/>
      <sheetName val="PPE减少&amp;减值&lt;&lt;"/>
      <sheetName val="PBC&lt;&lt;"/>
      <sheetName val="Movement schedule"/>
      <sheetName val="List"/>
      <sheetName val="Variables"/>
      <sheetName val="Working3"/>
      <sheetName val="Working2"/>
      <sheetName val="HZFMA"/>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08.xml><?xml version="1.0" encoding="utf-8"?>
<externalLink xmlns="http://schemas.openxmlformats.org/spreadsheetml/2006/main">
  <externalBook xmlns:r="http://schemas.openxmlformats.org/officeDocument/2006/relationships" r:id="rId1">
    <sheetNames>
      <sheetName val="内部投资抵销表"/>
      <sheetName val="选择报表"/>
      <sheetName val="#REF!"/>
      <sheetName val="Collateral"/>
      <sheetName val="资产负债表"/>
      <sheetName val="F1"/>
      <sheetName val="List"/>
      <sheetName val="B"/>
      <sheetName val="Non-Statistical Sampling Master"/>
      <sheetName val="Two Step Revenue Testing Master"/>
      <sheetName val="Global Data"/>
      <sheetName val="Library Procedures"/>
      <sheetName val="CQFMA"/>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9.xml><?xml version="1.0" encoding="utf-8"?>
<externalLink xmlns="http://schemas.openxmlformats.org/spreadsheetml/2006/main">
  <externalBook xmlns:r="http://schemas.openxmlformats.org/officeDocument/2006/relationships" r:id="rId1">
    <sheetNames>
      <sheetName val="ToD Template"/>
      <sheetName val="工程款针对性测试"/>
      <sheetName val="测试结果-江门恒鑫"/>
      <sheetName val="江门恒鑫预算造价汇总"/>
      <sheetName val="测试结果-惠州大亚湾"/>
      <sheetName val="Note 25 - Capital commitment"/>
      <sheetName val="Menu Master"/>
      <sheetName val="Targeted Testing Master"/>
      <sheetName val="Non-Statistical Sampling Master"/>
      <sheetName val="Suppl Non-Stat Sample Master"/>
      <sheetName val="Two Step Revenue Testing Master"/>
      <sheetName val="Accept Reject Master"/>
      <sheetName val="First Sample Results Master"/>
      <sheetName val="Global Data"/>
      <sheetName val=".0.xls)Permitted Values"/>
      <sheetName val="Library Procedures"/>
      <sheetName val="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0.xml><?xml version="1.0" encoding="utf-8"?>
<externalLink xmlns="http://schemas.openxmlformats.org/spreadsheetml/2006/main">
  <externalBook xmlns:r="http://schemas.openxmlformats.org/officeDocument/2006/relationships" r:id="rId1">
    <sheetNames>
      <sheetName val="Overview"/>
      <sheetName val="0008"/>
      <sheetName val=".0.xls)Permitted Values"/>
      <sheetName val="Reference"/>
      <sheetName val="Sommaire"/>
      <sheetName val="Library Procedures"/>
      <sheetName val="CDFMA"/>
      <sheetName val="WHFMA"/>
      <sheetName val="KMFMA"/>
      <sheetName val="SHFMA"/>
      <sheetName val="Non-Statistical Sampling Master"/>
      <sheetName val="Two Step Revenue Testing Master"/>
      <sheetName val="Global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11.xml><?xml version="1.0" encoding="utf-8"?>
<externalLink xmlns="http://schemas.openxmlformats.org/spreadsheetml/2006/main">
  <externalBook xmlns:r="http://schemas.openxmlformats.org/officeDocument/2006/relationships" r:id="rId1">
    <sheetNames>
      <sheetName val="Sommaire"/>
      <sheetName val="Aide"/>
      <sheetName val="Saisie"/>
      <sheetName val="Europe"/>
      <sheetName val="TCD_Europe"/>
      <sheetName val="Amérique"/>
      <sheetName val="Synthèse"/>
      <sheetName val="TCD_Amérique"/>
      <sheetName val="Asie"/>
      <sheetName val="TCD_ASIE"/>
      <sheetName val="Transport"/>
      <sheetName val="TCD_Transport"/>
      <sheetName val="B"/>
      <sheetName val="CR"/>
      <sheetName val="SR"/>
      <sheetName val="D"/>
      <sheetName val="E"/>
      <sheetName val="F"/>
      <sheetName val="IT"/>
      <sheetName val="FreeGlass"/>
      <sheetName val="Fritz"/>
      <sheetName val="HP"/>
      <sheetName val="P"/>
      <sheetName val="S"/>
      <sheetName val="BR"/>
      <sheetName val="COL"/>
      <sheetName val="M"/>
      <sheetName val="USA"/>
      <sheetName val="HSL"/>
      <sheetName val="HSS"/>
      <sheetName val="IN"/>
      <sheetName val="J"/>
      <sheetName val="SH"/>
      <sheetName val="T"/>
      <sheetName val="EST"/>
      <sheetName val="FI"/>
      <sheetName val="Kunice"/>
      <sheetName val="N"/>
      <sheetName val="Pyramid"/>
      <sheetName val="SicurGlass"/>
      <sheetName val="SNA"/>
      <sheetName val="Sully"/>
      <sheetName val="VetroSud"/>
      <sheetName val="Autover"/>
      <sheetName val="TCD_Autover"/>
      <sheetName val="Taux"/>
      <sheetName val="A3"/>
      <sheetName val="Library Procedures"/>
      <sheetName val="销售成本"/>
      <sheetName val="管理费用"/>
      <sheetName val="利润表"/>
      <sheetName val="财务费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12.xml><?xml version="1.0" encoding="utf-8"?>
<externalLink xmlns="http://schemas.openxmlformats.org/spreadsheetml/2006/main">
  <externalBook xmlns:r="http://schemas.openxmlformats.org/officeDocument/2006/relationships" r:id="rId1">
    <sheetNames>
      <sheetName val="收入规模－生产"/>
      <sheetName val="收入规模－财务"/>
      <sheetName val="折扣与折让"/>
      <sheetName val="收入明细表"/>
      <sheetName val="三年收入"/>
      <sheetName val="收入分月"/>
      <sheetName val="成本分月"/>
      <sheetName val="收入结构比较"/>
      <sheetName val="04-05价格比较"/>
      <sheetName val="毛利分月"/>
      <sheetName val="毛利分月(以平均成本计算)"/>
      <sheetName val="单价"/>
      <sheetName val="04-05毛利比较"/>
      <sheetName val="毛利分析图"/>
      <sheetName val="数量分月"/>
      <sheetName val="价格测试"/>
      <sheetName val="测试性测试－销售"/>
      <sheetName val="销售退回凭证测试表"/>
      <sheetName val="主营业务收入程序表"/>
      <sheetName val="审计说明"/>
      <sheetName val="重点客户凭证测试表"/>
      <sheetName val="前十名统计"/>
      <sheetName val="真实性"/>
      <sheetName val="Sheet2"/>
      <sheetName val="参数"/>
      <sheetName val="内外销统计表"/>
      <sheetName val="相关法规"/>
      <sheetName val="BETEILPLCG"/>
      <sheetName val="FULUK8"/>
      <sheetName val="PLCCOMMA"/>
      <sheetName val="PLCGYPROCNORDIC"/>
      <sheetName val="PLCPLACO"/>
      <sheetName val="COMMAU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externalBook xmlns:r="http://schemas.openxmlformats.org/officeDocument/2006/relationships" r:id="rId1">
    <sheetNames>
      <sheetName val="STD Ck"/>
      <sheetName val="A3"/>
      <sheetName val="A5"/>
      <sheetName val="A5-1"/>
      <sheetName val="A5a"/>
      <sheetName val="A5b"/>
      <sheetName val="A5-2"/>
      <sheetName val="A6-2"/>
      <sheetName val="A7-3"/>
      <sheetName val="A8-1"/>
      <sheetName val="A10"/>
      <sheetName val="B"/>
      <sheetName val="B100"/>
      <sheetName val="B200"/>
      <sheetName val="B300"/>
      <sheetName val="B400"/>
      <sheetName val="B402"/>
      <sheetName val="B500"/>
      <sheetName val="B501"/>
      <sheetName val="B600"/>
      <sheetName val="B601"/>
      <sheetName val="B700"/>
      <sheetName val="C"/>
      <sheetName val="E"/>
      <sheetName val="E1-1"/>
      <sheetName val="E1-2"/>
      <sheetName val="F"/>
      <sheetName val="F1"/>
      <sheetName val="F1-1"/>
      <sheetName val="F2"/>
      <sheetName val="F3"/>
      <sheetName val="G"/>
      <sheetName val="K"/>
      <sheetName val="I"/>
      <sheetName val="N"/>
      <sheetName val="N2-1"/>
      <sheetName val="N4"/>
      <sheetName val="O"/>
      <sheetName val="S1"/>
      <sheetName val="T"/>
      <sheetName val="T1"/>
      <sheetName val="U"/>
      <sheetName val="U1"/>
      <sheetName val="U2"/>
      <sheetName val="U3"/>
      <sheetName val="Outstanding matters"/>
      <sheetName val="Sheet2"/>
      <sheetName val="Sheet3"/>
      <sheetName val="00S_PL  "/>
      <sheetName val="99S_PL "/>
      <sheetName val="List"/>
      <sheetName val="FMT"/>
      <sheetName val="SHFM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14.xml><?xml version="1.0" encoding="utf-8"?>
<externalLink xmlns="http://schemas.openxmlformats.org/spreadsheetml/2006/main">
  <externalBook xmlns:r="http://schemas.openxmlformats.org/officeDocument/2006/relationships" r:id="rId1">
    <sheetNames>
      <sheetName val="Month"/>
      <sheetName val="98S_PL"/>
      <sheetName val="99S_PL "/>
      <sheetName val="00S_PL  "/>
      <sheetName val="Report"/>
      <sheetName val="01S_PL"/>
      <sheetName val="Non-Statistical Sampling Master"/>
      <sheetName val="SHFMA"/>
      <sheetName val="CD FMA"/>
      <sheetName val="FMC"/>
      <sheetName val="FM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5.xml><?xml version="1.0" encoding="utf-8"?>
<externalLink xmlns="http://schemas.openxmlformats.org/spreadsheetml/2006/main">
  <externalBook xmlns:r="http://schemas.openxmlformats.org/officeDocument/2006/relationships" r:id="rId1">
    <sheetNames>
      <sheetName val="Report (2)"/>
      <sheetName val="Month"/>
      <sheetName val="98S_PL"/>
      <sheetName val="99S_PL "/>
      <sheetName val="00S_PL  "/>
      <sheetName val="01S_PL"/>
      <sheetName val="Report"/>
      <sheetName val="Report2000END"/>
      <sheetName val="Report 2001END"/>
      <sheetName val="icbc2001.2"/>
      <sheetName val="SUMMARY ALL CO'S"/>
      <sheetName val="Non-Statistical Sampling Master"/>
      <sheetName val="Two Step Revenue Testing Master"/>
      <sheetName val="Global Data"/>
      <sheetName val="CQFM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16.xml><?xml version="1.0" encoding="utf-8"?>
<externalLink xmlns="http://schemas.openxmlformats.org/spreadsheetml/2006/main">
  <externalBook xmlns:r="http://schemas.openxmlformats.org/officeDocument/2006/relationships" r:id="rId1">
    <sheetNames>
      <sheetName val="SUMMARY ALL CO'S"/>
      <sheetName val="SUMMARY FULMAR"/>
      <sheetName val="FRF RATES"/>
      <sheetName val="DIARY"/>
      <sheetName val="PLC FRANCE"/>
      <sheetName val="PLCPLACO"/>
      <sheetName val="FINANCE2PLC"/>
      <sheetName val="PLCNORTHROC"/>
      <sheetName val="PLCEYAUSTRIA"/>
      <sheetName val="UKISOVERAD"/>
      <sheetName val="UKISOVERBCEF"/>
      <sheetName val="PLCRIGIPS"/>
      <sheetName val="PLCRIGIPSB"/>
      <sheetName val="PLCRIGIPSC"/>
      <sheetName val="PLCBETEILA"/>
      <sheetName val="PLCBETEILB"/>
      <sheetName val="PLCBETEILCHF"/>
      <sheetName val="PLCBETEILD"/>
      <sheetName val="PLCBETEILE"/>
      <sheetName val="PLCBETEILF"/>
      <sheetName val="FRANCE INVS B"/>
      <sheetName val="FRANCEINVESP"/>
      <sheetName val="PLCIBERYESO"/>
      <sheetName val="PLACO3+4INT"/>
      <sheetName val="PLACOUK5"/>
      <sheetName val="PLACOUK6"/>
      <sheetName val="PLACOUK7"/>
      <sheetName val="PLACOUK8"/>
      <sheetName val="PLACOUK9"/>
      <sheetName val="PLACOUK10"/>
      <sheetName val="PLACOUK11"/>
      <sheetName val="PLACOUK12"/>
      <sheetName val="PLACOUK13"/>
      <sheetName val="PLACOUK14"/>
      <sheetName val="PLACOUK15"/>
      <sheetName val="PLACOUK16"/>
      <sheetName val="GIIPLC"/>
      <sheetName val="FULUK4567"/>
      <sheetName val="FULFRANCE"/>
      <sheetName val="FULBETEILA"/>
      <sheetName val="FULBETEILB"/>
      <sheetName val="FUL CITIBANK"/>
      <sheetName val="LOCH ITALY"/>
      <sheetName val="LOCH ITALY B"/>
      <sheetName val="LOCHPLACO"/>
      <sheetName val="CITIBANK CHILE"/>
      <sheetName val="PLCUKFRF"/>
      <sheetName val="FULUK8"/>
      <sheetName val="Two Step Revenue Testing Master"/>
      <sheetName val="Global Data"/>
      <sheetName val="OTA"/>
      <sheetName val="Group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17.xml><?xml version="1.0" encoding="utf-8"?>
<externalLink xmlns="http://schemas.openxmlformats.org/spreadsheetml/2006/main">
  <externalBook xmlns:r="http://schemas.openxmlformats.org/officeDocument/2006/relationships" r:id="rId1">
    <sheetNames>
      <sheetName val="PLCRIGIPS"/>
      <sheetName val="PLCRIGIPSB"/>
      <sheetName val="PLCBETEILA"/>
      <sheetName val="PLCBETEILB"/>
      <sheetName val="PLCBETEILCHF"/>
      <sheetName val="PLCBETEILD"/>
      <sheetName val="PLCBETEILE"/>
      <sheetName val="PLCBETEILF"/>
      <sheetName val="PLCRIGIPSC"/>
      <sheetName val="PLCFIN4USD"/>
      <sheetName val=".0.xls)Permitted Value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8.xml><?xml version="1.0" encoding="utf-8"?>
<externalLink xmlns="http://schemas.openxmlformats.org/spreadsheetml/2006/main">
  <externalBook xmlns:r="http://schemas.openxmlformats.org/officeDocument/2006/relationships" r:id="rId1">
    <sheetNames>
      <sheetName val="Feuil5"/>
      <sheetName val="Feuil4"/>
      <sheetName val="MENU"/>
      <sheetName val="InputPL"/>
      <sheetName val="ExportPL"/>
      <sheetName val="InputBS"/>
      <sheetName val="ExportBS"/>
      <sheetName val="Consultants local currency"/>
      <sheetName val="00S_PL  "/>
      <sheetName val="99S_PL "/>
      <sheetName val="CE"/>
      <sheetName val="PLCBETEILA"/>
      <sheetName val="PLCBETEILB"/>
      <sheetName val="PLCBETEILCHF"/>
      <sheetName val="PLCBETEILD"/>
      <sheetName val="PLCBETEILE"/>
      <sheetName val="PLCBETEILF"/>
      <sheetName val="PLCRIGIPSB"/>
      <sheetName val="PLCRIGIPSC"/>
      <sheetName val="PLCRIG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9.xml><?xml version="1.0" encoding="utf-8"?>
<externalLink xmlns="http://schemas.openxmlformats.org/spreadsheetml/2006/main">
  <externalBook xmlns:r="http://schemas.openxmlformats.org/officeDocument/2006/relationships" r:id="rId1">
    <sheetNames>
      <sheetName val="Sheet1"/>
      <sheetName val="Consultants local currency"/>
      <sheetName val="consultants EUR"/>
      <sheetName val="Services_Secr_office"/>
      <sheetName val="Info"/>
      <sheetName val="VAL"/>
      <sheetName val="FINAL INPUT"/>
      <sheetName val="param"/>
      <sheetName val="01S_PL"/>
      <sheetName val="Disclos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20.xml><?xml version="1.0" encoding="utf-8"?>
<externalLink xmlns="http://schemas.openxmlformats.org/spreadsheetml/2006/main">
  <externalBook xmlns:r="http://schemas.openxmlformats.org/officeDocument/2006/relationships" r:id="rId1">
    <sheetNames>
      <sheetName val="Identite"/>
      <sheetName val="param"/>
      <sheetName val="Interro"/>
      <sheetName val="ETATONGL"/>
      <sheetName val="Traduction"/>
      <sheetName val="FluxVentes"/>
      <sheetName val="NewProd"/>
      <sheetName val="comm"/>
      <sheetName val="FG"/>
      <sheetName val="MAR-DATpc"/>
      <sheetName val="MAR-DAT"/>
      <sheetName val="QTEPNV"/>
      <sheetName val="RESULTinput"/>
      <sheetName val="COUT"/>
      <sheetName val="RESULT"/>
      <sheetName val="Fgx"/>
      <sheetName val="BILAN"/>
      <sheetName val="Dividendes"/>
      <sheetName val="MARGE"/>
      <sheetName val="MAR-DAT-R"/>
      <sheetName val="MAR-DAT-B"/>
      <sheetName val="MAR-SYN"/>
      <sheetName val="Read Me Ana_PNV"/>
      <sheetName val="Ana_PNV"/>
      <sheetName val="EXTENCPRE"/>
      <sheetName val="CR-BIL-Ratios"/>
      <sheetName val="Pull2002"/>
      <sheetName val="Pull2003"/>
      <sheetName val="Pull2004"/>
      <sheetName val="Pull2005"/>
      <sheetName val="Pull2006"/>
      <sheetName val="SUMMARY ALL CO'S"/>
      <sheetName val="Stat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21.xml><?xml version="1.0" encoding="utf-8"?>
<externalLink xmlns="http://schemas.openxmlformats.org/spreadsheetml/2006/main">
  <externalBook xmlns:r="http://schemas.openxmlformats.org/officeDocument/2006/relationships" r:id="rId1">
    <sheetNames>
      <sheetName val="Cover"/>
      <sheetName val="Table"/>
      <sheetName val="PF"/>
      <sheetName val="wksht"/>
      <sheetName val="PullSales"/>
      <sheetName val="Pulla1150"/>
      <sheetName val="pullA1200"/>
      <sheetName val="Pull2002"/>
      <sheetName val="Pull2003"/>
      <sheetName val="Pull2004"/>
      <sheetName val="Pull2005"/>
      <sheetName val="Pull2006"/>
      <sheetName val="Index"/>
      <sheetName val="Assumptions"/>
      <sheetName val="Trends"/>
      <sheetName val="vsRF3"/>
      <sheetName val="PVA"/>
      <sheetName val="Savings"/>
      <sheetName val="Capex"/>
      <sheetName val="Top15"/>
      <sheetName val="Charts"/>
      <sheetName val="RF3"/>
      <sheetName val="Budget"/>
      <sheetName val="Change"/>
      <sheetName val="RF3Cost%"/>
      <sheetName val="BudgetCost%"/>
      <sheetName val="SalesGrowth"/>
      <sheetName val="Material"/>
      <sheetName val="A1150"/>
      <sheetName val="A1200"/>
      <sheetName val="Headcount"/>
      <sheetName val="Labor&amp;Bens Check"/>
      <sheetName val="Value Added"/>
      <sheetName val="OtherExpl"/>
      <sheetName val="Module2"/>
      <sheetName val="U_price"/>
      <sheetName val="PLCBETEILA"/>
      <sheetName val="PLCBETEILB"/>
      <sheetName val="PLCBETEILCHF"/>
      <sheetName val="PLCBETEILD"/>
      <sheetName val="PLCBETEILE"/>
      <sheetName val="PLCBETEILF"/>
      <sheetName val="PLCRIGIPSB"/>
      <sheetName val="PLCRIGIPSC"/>
      <sheetName val="PLCRIGIPS"/>
      <sheetName val="REFERE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2.xml><?xml version="1.0" encoding="utf-8"?>
<externalLink xmlns="http://schemas.openxmlformats.org/spreadsheetml/2006/main">
  <externalBook xmlns:r="http://schemas.openxmlformats.org/officeDocument/2006/relationships" r:id="rId1">
    <sheetNames>
      <sheetName val="Glass_Monthly"/>
      <sheetName val="Summary"/>
      <sheetName val="Glass_WS"/>
      <sheetName val="Glass_SL"/>
      <sheetName val="Glass_Lami"/>
      <sheetName val="Glass_Temp"/>
      <sheetName val="PVB_WS"/>
      <sheetName val="PVB_Lami"/>
      <sheetName val="ROH_WS"/>
      <sheetName val="ROH_SL"/>
      <sheetName val="ROH_Lami"/>
      <sheetName val="ROH_Temp"/>
      <sheetName val="U_price"/>
      <sheetName val="BS"/>
      <sheetName val="PL"/>
      <sheetName val="PLCFIN4USD"/>
      <sheetName val="MTX-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3.xml><?xml version="1.0" encoding="utf-8"?>
<externalLink xmlns="http://schemas.openxmlformats.org/spreadsheetml/2006/main">
  <externalBook xmlns:r="http://schemas.openxmlformats.org/officeDocument/2006/relationships" r:id="rId1">
    <sheetNames>
      <sheetName val="Analysis"/>
      <sheetName val="Act Price"/>
      <sheetName val="AB(QTY)"/>
      <sheetName val="AB(VAL)"/>
      <sheetName val="UNIT PRICE"/>
      <sheetName val="CODE LIBRARY"/>
      <sheetName val="A3"/>
      <sheetName val="Consultants local currency"/>
      <sheetName val="麦迪信-主营业务收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24.xml><?xml version="1.0" encoding="utf-8"?>
<externalLink xmlns="http://schemas.openxmlformats.org/spreadsheetml/2006/main">
  <externalBook xmlns:r="http://schemas.openxmlformats.org/officeDocument/2006/relationships" r:id="rId1">
    <sheetNames>
      <sheetName val="#REF!"/>
      <sheetName val="蝶理株式会社"/>
      <sheetName val="保土谷大连PTG有限公司"/>
      <sheetName val="江阴中绿化纤工艺技术有限公司"/>
      <sheetName val="瑞安市电力有限责任公司"/>
      <sheetName val="日商岩井株式会社"/>
      <sheetName val="三星物产株式会社"/>
      <sheetName val="烟台星煜化工有限公司"/>
      <sheetName val="如东县太极化纤纺织器材有限公司"/>
      <sheetName val="迪比喜化学贸易(上海)有限公司"/>
      <sheetName val="瑞安市泰胜电力工程机械有限公司"/>
      <sheetName val="瑞安市利峰氨纶纸管有限公司"/>
      <sheetName val="上海嘉卓化工有限公司"/>
      <sheetName val="瑞安市南方包装制品有限公司"/>
      <sheetName val="氰特科技股份有限公司"/>
      <sheetName val="大连冷冻机股份有限公司"/>
      <sheetName val="常州综研加热炉有限公司"/>
      <sheetName val="巴斯夫中国有限公司"/>
      <sheetName val="BGBVBPBASIA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5.xml><?xml version="1.0" encoding="utf-8"?>
<externalLink xmlns="http://schemas.openxmlformats.org/spreadsheetml/2006/main">
  <externalBook xmlns:r="http://schemas.openxmlformats.org/officeDocument/2006/relationships" r:id="rId1">
    <sheetNames>
      <sheetName val="A3"/>
      <sheetName val="A5"/>
      <sheetName val="A6-2"/>
      <sheetName val="A7-6"/>
      <sheetName val="A8-2"/>
      <sheetName val="C"/>
      <sheetName val="E"/>
      <sheetName val="E1"/>
      <sheetName val="E2"/>
      <sheetName val="EE"/>
      <sheetName val="G"/>
      <sheetName val="G1"/>
      <sheetName val="I"/>
      <sheetName val="I1"/>
      <sheetName val="L"/>
      <sheetName val="K"/>
      <sheetName val="K3"/>
      <sheetName val="N"/>
      <sheetName val="N1"/>
      <sheetName val="O"/>
      <sheetName val="O1"/>
      <sheetName val="O1-1"/>
      <sheetName val="O1-2"/>
      <sheetName val="O2"/>
      <sheetName val="P"/>
      <sheetName val="P1"/>
      <sheetName val="P2"/>
      <sheetName val="P3"/>
      <sheetName val="P4"/>
      <sheetName val="Q"/>
      <sheetName val="Q2"/>
      <sheetName val="S"/>
      <sheetName val="T"/>
      <sheetName val="T1"/>
      <sheetName val="U"/>
      <sheetName val="U1"/>
      <sheetName val="U2"/>
      <sheetName val="U2-1"/>
      <sheetName val="U3"/>
      <sheetName val="U3-1"/>
      <sheetName val="Sheet 3"/>
      <sheetName val="Sheet 4"/>
      <sheetName val="Sheet 5"/>
      <sheetName val="Dollars"/>
      <sheetName val="param"/>
      <sheetName val="#1(BS)"/>
      <sheetName val="#2(IS)"/>
      <sheetName val="#5-1_Purch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26.xml><?xml version="1.0" encoding="utf-8"?>
<externalLink xmlns="http://schemas.openxmlformats.org/spreadsheetml/2006/main">
  <externalBook xmlns:r="http://schemas.openxmlformats.org/officeDocument/2006/relationships" r:id="rId1">
    <sheetNames>
      <sheetName val="基本参数"/>
      <sheetName val="审计说明"/>
      <sheetName val="应付工资福利费分析性复核"/>
      <sheetName val="应付工资、福利审定表"/>
      <sheetName val="图例分析"/>
      <sheetName val="应付工资附加和福利费检查表"/>
      <sheetName val="2005年每月职工人数"/>
      <sheetName val="应付工资凭证查证"/>
      <sheetName val="应付福利费凭证查证"/>
      <sheetName val="参数"/>
      <sheetName val="bgbvgyprocori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7.xml><?xml version="1.0" encoding="utf-8"?>
<externalLink xmlns="http://schemas.openxmlformats.org/spreadsheetml/2006/main">
  <externalBook xmlns:r="http://schemas.openxmlformats.org/officeDocument/2006/relationships" r:id="rId1">
    <sheetNames>
      <sheetName val="Sheet1"/>
      <sheetName val="Sheet3"/>
      <sheetName val="p1"/>
      <sheetName val="p2"/>
      <sheetName val="dklx"/>
    </sheetNames>
    <sheetDataSet>
      <sheetData sheetId="0" refreshError="1"/>
      <sheetData sheetId="1" refreshError="1"/>
      <sheetData sheetId="2" refreshError="1"/>
      <sheetData sheetId="3" refreshError="1"/>
      <sheetData sheetId="4" refreshError="1"/>
    </sheetDataSet>
  </externalBook>
</externalLink>
</file>

<file path=xl/externalLinks/externalLink128.xml><?xml version="1.0" encoding="utf-8"?>
<externalLink xmlns="http://schemas.openxmlformats.org/spreadsheetml/2006/main">
  <externalBook xmlns:r="http://schemas.openxmlformats.org/officeDocument/2006/relationships" r:id="rId1">
    <sheetNames>
      <sheetName val="Toolbox"/>
      <sheetName val="初始设定"/>
      <sheetName val="预收帐款"/>
      <sheetName val="2002.1-6管理费用"/>
      <sheetName val="Main"/>
      <sheetName val="PER SALES ORG"/>
      <sheetName val="Open"/>
      <sheetName val="制造成本预算表A3"/>
      <sheetName val="Financ. Overview"/>
      <sheetName val="ZI4-1库存商品明细表 (2)"/>
      <sheetName val="基本参数"/>
      <sheetName val="#REF!"/>
      <sheetName val="参数"/>
      <sheetName val="BGBVSTAWIANY4"/>
      <sheetName val="BGBVSTAWIANY5"/>
      <sheetName val="BGBVSTAWIANY6"/>
      <sheetName val="BGBVRUSSIA2"/>
      <sheetName val="BGBVRUSSIA3"/>
      <sheetName val="BGBVRUSSIA1"/>
      <sheetName val="BGBVSTAWIANY2"/>
      <sheetName val="BGBVSTAWIANY3"/>
      <sheetName val="BGBVSTAWIANY1"/>
      <sheetName val="BGBVSTAWIANY10"/>
      <sheetName val="BGBVSTAWIANY11"/>
      <sheetName val="BGBVSTAWIANY12"/>
      <sheetName val="BGBVSTAWIANY13"/>
      <sheetName val="BGBVSTAWIANY7"/>
      <sheetName val="BGBVSTAWIANY8"/>
      <sheetName val="BGBVSTAWIANY9"/>
      <sheetName val="BPBGBVROMANIA"/>
      <sheetName val="GIBVCZECH1"/>
      <sheetName val="GIBVCZECH2"/>
      <sheetName val="GIBVCZECH3"/>
      <sheetName val="GIBVCZECH4"/>
      <sheetName val="GIBVCZECH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29.xml><?xml version="1.0" encoding="utf-8"?>
<externalLink xmlns="http://schemas.openxmlformats.org/spreadsheetml/2006/main">
  <externalBook xmlns:r="http://schemas.openxmlformats.org/officeDocument/2006/relationships" r:id="rId1">
    <sheetNames>
      <sheetName val="董事会决议"/>
      <sheetName val="HGI Package "/>
      <sheetName val="IFRS CJE"/>
      <sheetName val="HGI SUD"/>
      <sheetName val="HGI MOE"/>
      <sheetName val="Toptrial PRC"/>
      <sheetName val="Final TB"/>
      <sheetName val="PRC FAR"/>
      <sheetName val="PRC SUD"/>
      <sheetName val="SUD summary"/>
      <sheetName val="PRC CJE"/>
      <sheetName val="CJE Summary"/>
      <sheetName val="Cashflow"/>
      <sheetName val="Cashflow Ref 2010"/>
      <sheetName val="for cashflow"/>
      <sheetName val="PRC SAD"/>
      <sheetName val="PRC SAD Summary"/>
      <sheetName val="Sheet4"/>
      <sheetName val="going concern"/>
      <sheetName val="Sheet2"/>
      <sheetName val="Reconciliation PRC &amp; SIF"/>
      <sheetName val="Toptrial SIF"/>
      <sheetName val="SIF 2008 12 BS"/>
      <sheetName val="SIF 2009 1-9 P&amp;L"/>
      <sheetName val="SIF 2009 9 BS"/>
      <sheetName val="Report Disclose"/>
      <sheetName val="Cashflow Ref"/>
      <sheetName val="EIT"/>
      <sheetName val="CF NOTE"/>
      <sheetName val="2月收入成本明细表"/>
      <sheetName val="Criteria"/>
      <sheetName val="BS+PL200712"/>
      <sheetName val="Changes"/>
      <sheetName val="2001Actual"/>
      <sheetName val="U_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0.xml><?xml version="1.0" encoding="utf-8"?>
<externalLink xmlns="http://schemas.openxmlformats.org/spreadsheetml/2006/main">
  <externalBook xmlns:r="http://schemas.openxmlformats.org/officeDocument/2006/relationships" r:id="rId1">
    <sheetNames>
      <sheetName val="表紙"/>
      <sheetName val="2001Summary"/>
      <sheetName val="2002Action"/>
      <sheetName val="2001Actual"/>
      <sheetName val="2002Actual"/>
      <sheetName val="98-00"/>
      <sheetName val="Demands"/>
      <sheetName val="Demand"/>
      <sheetName val="Market"/>
      <sheetName val="Disttibutor"/>
      <sheetName val="自動車品種"/>
      <sheetName val="Steel"/>
      <sheetName val="ﾍﾞｱﾘﾝｸﾞ"/>
      <sheetName val="Other"/>
      <sheetName val="ASN "/>
      <sheetName val="SA"/>
      <sheetName val="CA"/>
      <sheetName val="NA"/>
      <sheetName val="Machine"/>
      <sheetName val="BA Share"/>
      <sheetName val="Low Shared"/>
      <sheetName val="drop_down"/>
      <sheetName val="A16-01"/>
      <sheetName val="A16"/>
      <sheetName val="2008 New hire"/>
      <sheetName val="2月收入成本明细表"/>
      <sheetName val="Cover"/>
      <sheetName val="master"/>
      <sheetName val="BS"/>
      <sheetName val="PL"/>
      <sheetName val="PRC F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31.xml><?xml version="1.0" encoding="utf-8"?>
<externalLink xmlns="http://schemas.openxmlformats.org/spreadsheetml/2006/main">
  <externalBook xmlns:r="http://schemas.openxmlformats.org/officeDocument/2006/relationships" r:id="rId1">
    <sheetNames>
      <sheetName val="POWER ASSUMPTIONS"/>
      <sheetName val="Sheet1"/>
      <sheetName val="Sheet2"/>
      <sheetName val="Sheet3"/>
      <sheetName val="本期发生"/>
      <sheetName val="11度华丹"/>
      <sheetName val="13度高浓"/>
      <sheetName val="13度分配表"/>
      <sheetName val="13.65度雪花"/>
      <sheetName val="13.6雪花分配表"/>
      <sheetName val="13.65度沈阳"/>
      <sheetName val="13.65沈阳分配表"/>
      <sheetName val="11度干啤"/>
      <sheetName val="酵造过滤分配"/>
      <sheetName val="新水分配表"/>
      <sheetName val="酿造煤水电"/>
      <sheetName val="酿造麦芽"/>
      <sheetName val="汇总表"/>
      <sheetName val="煤水电备份 "/>
      <sheetName val="10.5度成本表"/>
      <sheetName val="11度雪成本表"/>
      <sheetName val="11度亚特成本表"/>
      <sheetName val="雪花干成本表"/>
      <sheetName val="华丹成本表"/>
      <sheetName val="11度沈阳鲜成本表"/>
      <sheetName val="制品辅料"/>
      <sheetName val="制品煤水电"/>
      <sheetName val="制品瓶盖商标"/>
      <sheetName val="雪花分配表"/>
      <sheetName val="雪花干分配表"/>
      <sheetName val="沈阳鲜分配表"/>
      <sheetName val="华丹分配"/>
      <sheetName val="桶酒15L"/>
      <sheetName val="桶酒20L"/>
      <sheetName val="桶酒30L"/>
      <sheetName val="桶酒10L"/>
      <sheetName val="桶酒5L"/>
      <sheetName val="桶酒20L (雪) "/>
      <sheetName val="桶酒30L (雪)  "/>
      <sheetName val="桶酒15L(华）"/>
      <sheetName val="桶酒20L（华）"/>
      <sheetName val="桶酒30L（华）"/>
      <sheetName val="桶酒20L(雪花干）"/>
      <sheetName val="_REF!"/>
      <sheetName val="POWERASSUMPTIONS"/>
      <sheetName val="Toolbox"/>
      <sheetName val="G.1R-Shou COP Gf"/>
      <sheetName val="说明"/>
      <sheetName val="销量"/>
      <sheetName val="共享"/>
      <sheetName val="促销活动"/>
      <sheetName val="活动"/>
      <sheetName val="总表"/>
      <sheetName val="XL4Poppy"/>
      <sheetName val="核算项目余额表"/>
      <sheetName val="±¾ÆÚ·¢Éú"/>
      <sheetName val="11¶È»ªµ¤"/>
      <sheetName val="13¶È¸ßÅ¨"/>
      <sheetName val="13¶È·ÖÅä±í"/>
      <sheetName val="13.65¶ÈÑ©»¨"/>
      <sheetName val="13.6Ñ©»¨·ÖÅä±í"/>
      <sheetName val="13.65¶ÈÉòÑô"/>
      <sheetName val="13.65ÉòÑô·ÖÅä±í"/>
      <sheetName val="11¶È¸ÉÆ¡"/>
      <sheetName val="½ÍÔì¹ýÂË·ÖÅä"/>
      <sheetName val="ÐÂË®·ÖÅä±í"/>
      <sheetName val="ÄðÔìÃºË®µç"/>
      <sheetName val="ÄðÔìÂóÑ¿"/>
      <sheetName val="»ã×Ü±í"/>
      <sheetName val="ÃºË®µç±¸·Ý "/>
      <sheetName val="10.5¶È³É±¾±í"/>
      <sheetName val="11¶ÈÑ©³É±¾±í"/>
      <sheetName val="11¶ÈÑÇÌØ³É±¾±í"/>
      <sheetName val="Ñ©»¨¸É³É±¾±í"/>
      <sheetName val="»ªµ¤³É±¾±í"/>
      <sheetName val="11¶ÈÉòÑôÏÊ³É±¾±í"/>
      <sheetName val="ÖÆÆ·¸¨ÁÏ"/>
      <sheetName val="ÖÆÆ·ÃºË®µç"/>
      <sheetName val="ÖÆÆ·Æ¿¸ÇÉÌ±ê"/>
      <sheetName val="Ñ©»¨·ÖÅä±í"/>
      <sheetName val="Ñ©»¨¸É·ÖÅä±í"/>
      <sheetName val="ÉòÑôÏÊ·ÖÅä±í"/>
      <sheetName val="»ªµ¤·ÖÅä"/>
      <sheetName val="Í°¾Æ15L"/>
      <sheetName val="Í°¾Æ20L"/>
      <sheetName val="Í°¾Æ30L"/>
      <sheetName val="Í°¾Æ10L"/>
      <sheetName val="Í°¾Æ5L"/>
      <sheetName val="Í°¾Æ20L (Ñ©) "/>
      <sheetName val="Í°¾Æ30L (Ñ©)  "/>
      <sheetName val="Í°¾Æ15L(»ª£©"/>
      <sheetName val="Í°¾Æ20L£¨»ª£©"/>
      <sheetName val="Í°¾Æ30L£¨»ª£©"/>
      <sheetName val="Í°¾Æ20L(Ñ©»¨¸É£©"/>
      <sheetName val="ËµÃ÷"/>
      <sheetName val="ÏúÁ¿"/>
      <sheetName val="¹²Ïí"/>
      <sheetName val="´ÙÏú»î¶¯"/>
      <sheetName val="»î¶¯"/>
      <sheetName val="×Ü±í"/>
      <sheetName val="ºËËãÏîÄ¿Óà¶î±í"/>
      <sheetName val="¡À__¨²¡¤¡é¨¦¨²"/>
      <sheetName val="11_¨¨_a¦Ì¡è"/>
      <sheetName val="13_¨¨___¡§"/>
      <sheetName val="13_¨¨¡¤___¡À¨ª"/>
      <sheetName val="13.65_¨¨___¡§"/>
      <sheetName val="13.6___¡§¡¤___¡À¨ª"/>
      <sheetName val="13.65_¨¨¨¦¨°__"/>
      <sheetName val="13.65¨¦¨°__¡¤___¡À¨ª"/>
      <sheetName val="11_¨¨_¨¦__"/>
      <sheetName val="_¨ª_¨¬1y__¡¤___"/>
      <sheetName val="D___¡¤___¡À¨ª"/>
      <sheetName val="_e_¨¬_o__¦Ì_"/>
      <sheetName val="_e_¨¬_¨®__"/>
      <sheetName val="__¡Á¨¹¡À¨ª"/>
      <sheetName val="_o__¦Ì_¡À_¡¤Y "/>
      <sheetName val="10.5_¨¨3¨¦¡À_¡À¨ª"/>
      <sheetName val="11_¨¨__3¨¦¡À_¡À¨ª"/>
      <sheetName val="11_¨¨__¨¬_3¨¦¡À_¡À¨ª"/>
      <sheetName val="___¡§_¨¦3¨¦¡À_¡À¨ª"/>
      <sheetName val="_a¦Ì¡è3¨¦¡À_¡À¨ª"/>
      <sheetName val="11_¨¨¨¦¨°___¨º3¨¦¡À_¡À¨ª"/>
      <sheetName val="___¡¤_¡§¨¢_"/>
      <sheetName val="___¡¤_o__¦Ì_"/>
      <sheetName val="___¡¤____¨¦¨¬¡À¨º"/>
      <sheetName val="___¡§¡¤___¡À¨ª"/>
      <sheetName val="___¡§_¨¦¡¤___¡À¨ª"/>
      <sheetName val="¨¦¨°___¨º¡¤___¡À¨ª"/>
      <sheetName val="_a¦Ì¡è¡¤___"/>
      <sheetName val="¨ª¡ã__15L"/>
      <sheetName val="¨ª¡ã__20L"/>
      <sheetName val="¨ª¡ã__30L"/>
      <sheetName val="¨ª¡ã__10L"/>
      <sheetName val="¨ª¡ã__5L"/>
      <sheetName val="¨ª¡ã__20L (__) "/>
      <sheetName val="¨ª¡ã__30L (__)  "/>
      <sheetName val="¨ª¡ã__15L(_a¡ê_"/>
      <sheetName val="¨ª¡ã__20L¡ê¡§_a¡ê_"/>
      <sheetName val="¨ª¡ã__30L¡ê¡§_a¡ê_"/>
      <sheetName val="¨ª¡ã__20L(___¡§_¨¦¡ê_"/>
      <sheetName val="_¦Ì_¡Â"/>
      <sheetName val="_¨²¨¢_"/>
      <sheetName val="12_¨ª"/>
      <sheetName val="¡ä¨´_¨²___¡¥"/>
      <sheetName val="___¡¥"/>
      <sheetName val="¡Á¨¹¡À¨ª"/>
      <sheetName val="o_______¨®¨¤__¡À¨ª"/>
      <sheetName val="eqpmad2"/>
      <sheetName val="Financ. Overview"/>
      <sheetName val="SW-TEO"/>
      <sheetName val="B"/>
      <sheetName val="22号"/>
      <sheetName val="明细分类账"/>
      <sheetName val="BALANCE SHEET"/>
      <sheetName val="#REF"/>
      <sheetName val="所得税凭证抽查"/>
      <sheetName val="gvl"/>
      <sheetName val="Sheet158"/>
      <sheetName val="KKKKKKKK"/>
      <sheetName val="YS02-02"/>
      <sheetName val="E1020"/>
      <sheetName val="损益表（按单位)01"/>
      <sheetName val="_x005f_x0000__x005f_x0000__x005f_x0000__x005f_x0000__x0"/>
      <sheetName val="_x005f_x005f_x005f_x0000__x005f_x005f_x005f_x0000__x005"/>
      <sheetName val="企业表一"/>
      <sheetName val="M-5C"/>
      <sheetName val="M-5A"/>
      <sheetName val="M1-1A-1"/>
      <sheetName val="附件8---销售模式统计"/>
      <sheetName val="制造成本预算表A3"/>
      <sheetName val="ラミ"/>
      <sheetName val="Open"/>
      <sheetName val="销售收入A4"/>
      <sheetName val="E&amp;UA應收票據及帳款,營業收入"/>
      <sheetName val="F&amp;VA存貨及營業成本"/>
      <sheetName val="S衍生性金融商品及避險、或有及承諾事項"/>
      <sheetName val="N應付票據及帳款"/>
      <sheetName val="2002.1-6管理费用"/>
      <sheetName val="物资采购含税转出"/>
      <sheetName val="IGCHART"/>
      <sheetName val="PZRB"/>
      <sheetName val="目录"/>
      <sheetName val="基本参数"/>
      <sheetName val="_x005f_x005f_x005f_x005f_x005f_x005f_x005f_x0000__x005f"/>
      <sheetName val="_x005f_x0000__x005f_x0000__x005"/>
      <sheetName val="_x005f_x005f_x005f_x005f_x005f_x005f_x005f_x005f_x005f_x005f_"/>
      <sheetName val="原材料收发"/>
      <sheetName val="POWER ASSUMPTION"/>
      <sheetName val="00000ppy"/>
      <sheetName val="_x005f_x005f_x005f_x0000__x005f"/>
      <sheetName val="_x005f_x005f_x005f_x005f_"/>
      <sheetName val="入库分类"/>
      <sheetName val="へ㔰彦へ〰弰硟〰昵硟〰〰彟へ㔰彦へ〰弰7开へ㔰彦へ〰弰硟〰昵硟"/>
      <sheetName val="彦へ㔰彦へ㔰彦へ〰弰硟〰젵"/>
      <sheetName val="へ㔰彦へ㔰彦へ㔰彦へ〰弰硟〰昵硟〰昵硟〰昵硟〰〰彟へ㔰彦へ㔰彦"/>
      <sheetName val="05f_x005f_x005f_x005f_x005f_x005f_x0000__x005fg"/>
      <sheetName val="5f_x005f_x005f_x005f_x0000__x005f_x005f_x005f_x005f_x00"/>
      <sheetName val="へg开へ㔰彦へ㔰彦へ㔰彦へ㔰彦へ㔰彦へ㔰彦へ㔰彦へ〰弰硟〰昵硟"/>
      <sheetName val="彦へ〰弰硟〰昵硟〰〰彟へ㔰彦へ〰弰硟〰昵硟〰㼰Āへ㔰彦へ〰弰硟"/>
      <sheetName val="へ㔰彦へ〰弰硟㜰"/>
      <sheetName val="へ㔰彦へ㔰彦へ〰弰㼷"/>
      <sheetName val="_x005f_x005f_x005f_x0000__x005f_x005f_x005f_x005f_x005f"/>
      <sheetName val="5"/>
      <sheetName val="Main"/>
      <sheetName val="清单12.31"/>
      <sheetName val="会计事项调整表"/>
      <sheetName val="GP analysis Per month"/>
      <sheetName val="Sales breakdown "/>
      <sheetName val="MA Adj. Test"/>
      <sheetName val="华泰"/>
      <sheetName val="华意"/>
      <sheetName val="资产负债表及损益表"/>
      <sheetName val="重要内部交易"/>
      <sheetName val="财务费用"/>
      <sheetName val="管理费用"/>
      <sheetName val="营业费用"/>
      <sheetName val="制造费用"/>
      <sheetName val="#REF!"/>
      <sheetName val="应收账款明细表"/>
      <sheetName val="2006"/>
      <sheetName val="折旧测试2007"/>
      <sheetName val="4产成品清单"/>
      <sheetName val="19采购明细"/>
      <sheetName val="索引"/>
      <sheetName val="三家其他应付公司"/>
      <sheetName val="P&amp;L weekly"/>
      <sheetName val="________"/>
      <sheetName val="Parameters"/>
      <sheetName val="电视监控"/>
      <sheetName val="前(栖居)"/>
      <sheetName val="建(栖居)"/>
      <sheetName val="基(栖居)"/>
      <sheetName val="指标分类汇总"/>
      <sheetName val="钢筋计算表"/>
      <sheetName val="11年计划"/>
      <sheetName val="字段"/>
      <sheetName val="楼层"/>
      <sheetName val="POWER_ASSUMPTIONS"/>
      <sheetName val="G_1R-Shou_COP_Gf"/>
      <sheetName val="Financ__Overview"/>
      <sheetName val="POWER_ASSUMPTION"/>
      <sheetName val="POWER_ASSUMPTIONS1"/>
      <sheetName val="G_1R-Shou_COP_Gf1"/>
      <sheetName val="Financ__Overview1"/>
      <sheetName val="POWER_ASSUMPTION1"/>
      <sheetName val="零星工程量"/>
      <sheetName val="合同"/>
      <sheetName val="综合认价"/>
      <sheetName val="单位库"/>
      <sheetName val="一标段 "/>
      <sheetName val="方案4"/>
      <sheetName val="Drop Down"/>
      <sheetName val="方案1"/>
      <sheetName val="项目指标"/>
      <sheetName val="合同台账"/>
      <sheetName val="动态成本"/>
      <sheetName val="付款台账"/>
      <sheetName val="附表1"/>
      <sheetName val="Mp-team 1"/>
      <sheetName val="序列表"/>
      <sheetName val="原材料单价分析"/>
      <sheetName val="TRIAL3"/>
      <sheetName val="G-PROF1"/>
      <sheetName val="eva"/>
      <sheetName val="折线图2数据"/>
      <sheetName val="07水"/>
      <sheetName val="合同明细"/>
      <sheetName val="系数516"/>
      <sheetName val="99CCTV"/>
      <sheetName val="节奏成本"/>
      <sheetName val="销售回款预测"/>
      <sheetName val="税金预测"/>
      <sheetName val="行政办公费预算汇总表"/>
      <sheetName val="行政办公费预算(部门分解）"/>
      <sheetName val="資料庫"/>
      <sheetName val="规划面积"/>
      <sheetName val=" Bundled Discount for Brands"/>
      <sheetName val="管理费用表分析-1"/>
      <sheetName val="6月"/>
      <sheetName val="原报调整分录"/>
      <sheetName val="审计调整分录"/>
      <sheetName val="预收帐款"/>
      <sheetName val="DATA"/>
      <sheetName val="PER SALES ORG"/>
      <sheetName val="05f_x005f_x0000__x005fg"/>
      <sheetName val="5f_x005f_x0000__x005f_x005f_x00"/>
      <sheetName val="_x005f_x0000__x005f_x005f_x005f"/>
      <sheetName val="05f_x005f"/>
      <sheetName val="BPBBETE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Set>
  </externalBook>
</externalLink>
</file>

<file path=xl/externalLinks/externalLink132.xml><?xml version="1.0" encoding="utf-8"?>
<externalLink xmlns="http://schemas.openxmlformats.org/spreadsheetml/2006/main">
  <externalBook xmlns:r="http://schemas.openxmlformats.org/officeDocument/2006/relationships" r:id="rId1">
    <sheetNames>
      <sheetName val="master"/>
      <sheetName val="汇总"/>
      <sheetName val="页面"/>
      <sheetName val="历史数据客编表完成日期"/>
      <sheetName val="客户填表注意事项"/>
      <sheetName val="银行存款"/>
      <sheetName val="短期投资"/>
      <sheetName val="应收票据"/>
      <sheetName val="应收票据2"/>
      <sheetName val="应收账款"/>
      <sheetName val="应收账款期后回款"/>
      <sheetName val="坏帐准备"/>
      <sheetName val="应收股利"/>
      <sheetName val="预付账款"/>
      <sheetName val="其他应收款"/>
      <sheetName val="应收补贴款"/>
      <sheetName val="存货"/>
      <sheetName val="期后发货"/>
      <sheetName val="存货准备金"/>
      <sheetName val="内部采购存货"/>
      <sheetName val="固定资产"/>
      <sheetName val="在建工程"/>
      <sheetName val="无形资产"/>
      <sheetName val="其它资产"/>
      <sheetName val="长期投资汇总"/>
      <sheetName val="长期投资-股票投资或股权投资"/>
      <sheetName val="长期投资-债券投资"/>
      <sheetName val="长期投资-其他投资"/>
      <sheetName val="集团内公司清单"/>
      <sheetName val="Instructions (2)"/>
      <sheetName val="평가기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33.xml><?xml version="1.0" encoding="utf-8"?>
<externalLink xmlns="http://schemas.openxmlformats.org/spreadsheetml/2006/main">
  <externalBook xmlns:r="http://schemas.openxmlformats.org/officeDocument/2006/relationships" r:id="rId1">
    <sheetNames>
      <sheetName val="Feuil1"/>
      <sheetName val="Instructions"/>
      <sheetName val="INPUT - Sales"/>
      <sheetName val="INPUT - Margins"/>
      <sheetName val="INPUT - Sales without Q"/>
      <sheetName val="CALC - R06 Vs B06"/>
      <sheetName val="CALC - R06 Vs R05"/>
      <sheetName val="SUMMARY - MON"/>
      <sheetName val="SUMMARY - CUM"/>
      <sheetName val="MAGNITUDE - EPV"/>
      <sheetName val="PL DL"/>
      <sheetName val="Instructions (2)"/>
      <sheetName val="Input RE Analysis"/>
      <sheetName val="PNV ANALYSIS"/>
      <sheetName val="RE ANALYSIS"/>
      <sheetName val="Summary RE Analysis"/>
      <sheetName val="STRUCTURE"/>
      <sheetName val="Variance"/>
      <sheetName val="Data"/>
      <sheetName val="CODE LIBRARY"/>
      <sheetName val="mas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34.xml><?xml version="1.0" encoding="utf-8"?>
<externalLink xmlns="http://schemas.openxmlformats.org/spreadsheetml/2006/main">
  <externalBook xmlns:r="http://schemas.openxmlformats.org/officeDocument/2006/relationships" r:id="rId1">
    <sheetNames>
      <sheetName val="Database1"/>
      <sheetName val="Database2"/>
      <sheetName val="ACdata"/>
      <sheetName val="Sum"/>
      <sheetName val="Allocation"/>
      <sheetName val="key2008"/>
      <sheetName val="Key2008 (2)"/>
      <sheetName val="Allocation Ratio"/>
      <sheetName val="Salary"/>
      <sheetName val="Data"/>
      <sheetName val="Income FI"/>
      <sheetName val="Pension ee FI"/>
      <sheetName val="Medical ee FI"/>
      <sheetName val="Unemployment ee FI"/>
      <sheetName val="Housing ee FI"/>
      <sheetName val="Pension Co FI"/>
      <sheetName val="Medical Co FI"/>
      <sheetName val="Unemployment Co FI"/>
      <sheetName val="Injury Co FI"/>
      <sheetName val="Housing Co FI"/>
      <sheetName val="Double Pay  "/>
      <sheetName val="Incentive Pay"/>
      <sheetName val="Sub-Labor"/>
      <sheetName val="General"/>
      <sheetName val="A3"/>
      <sheetName val="co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5.xml><?xml version="1.0" encoding="utf-8"?>
<externalLink xmlns="http://schemas.openxmlformats.org/spreadsheetml/2006/main">
  <externalBook xmlns:r="http://schemas.openxmlformats.org/officeDocument/2006/relationships" r:id="rId1">
    <sheetNames>
      <sheetName val="Salary Jul 06"/>
      <sheetName val="R25A"/>
      <sheetName val="VOH"/>
      <sheetName val="FOH"/>
      <sheetName val="R51"/>
      <sheetName val="R52"/>
      <sheetName val="SUM by cost center"/>
      <sheetName val="SUM By DL"/>
      <sheetName val="Budget driver"/>
      <sheetName val="2007 key"/>
      <sheetName val="Data"/>
      <sheetName val="General"/>
      <sheetName val="HR Cost By SBU"/>
      <sheetName val="Headcount Budget 2007"/>
      <sheetName val="DL Headcount Budget 2007"/>
      <sheetName val="Sheet1"/>
      <sheetName val="存货汇总表10"/>
      <sheetName val="Dollars"/>
      <sheetName val="Ex Dif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36.xml><?xml version="1.0" encoding="utf-8"?>
<externalLink xmlns="http://schemas.openxmlformats.org/spreadsheetml/2006/main">
  <externalBook xmlns:r="http://schemas.openxmlformats.org/officeDocument/2006/relationships" r:id="rId1">
    <sheetNames>
      <sheetName val="Identite"/>
      <sheetName val="param"/>
      <sheetName val="Interro"/>
      <sheetName val="ETATONGL"/>
      <sheetName val="Traduction"/>
      <sheetName val="FluxVentes"/>
      <sheetName val="NewProd"/>
      <sheetName val="QTEPNV"/>
      <sheetName val="RESULTinput"/>
      <sheetName val="RESULT"/>
      <sheetName val="COUT"/>
      <sheetName val="Fgx"/>
      <sheetName val="BILAN"/>
      <sheetName val="Dividendes"/>
      <sheetName val="MARGE"/>
      <sheetName val="MAR-SYN"/>
      <sheetName val="MAR-DAT"/>
      <sheetName val="Read Me Ana_PNV"/>
      <sheetName val="Ana_PNV"/>
      <sheetName val="EXTENCPRE"/>
      <sheetName val="CR-BIL-Ratios"/>
      <sheetName val="Deferred Tax"/>
      <sheetName val="WASH"/>
      <sheetName val="BIO Cayman"/>
      <sheetName val="GB Invest"/>
      <sheetName val="FY2012 (BIO Group IFRS)"/>
      <sheetName val="FY2015 (BIO Group IFRS)"/>
      <sheetName val="FY2013 (BIO Group IFRS)"/>
      <sheetName val="FY2014 (BIO Group IFRS)"/>
      <sheetName val="BIOHLD"/>
      <sheetName val="WABIO"/>
      <sheetName val="BIOSH"/>
      <sheetName val="2001Actual"/>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37.xml><?xml version="1.0" encoding="utf-8"?>
<externalLink xmlns="http://schemas.openxmlformats.org/spreadsheetml/2006/main">
  <externalBook xmlns:r="http://schemas.openxmlformats.org/officeDocument/2006/relationships" r:id="rId1">
    <sheetNames>
      <sheetName val="BS&amp;PL"/>
      <sheetName val="Equity MOV"/>
      <sheetName val="Cash Flow"/>
      <sheetName val="CF_2015"/>
      <sheetName val="CF_2014"/>
      <sheetName val="CF_2013"/>
      <sheetName val="BS&amp;PL before Regrouping"/>
      <sheetName val="IFRS2015"/>
      <sheetName val="IFRS2014"/>
      <sheetName val="IFRS2013"/>
      <sheetName val="IFRS2012"/>
      <sheetName val="FY2015 (BIO Group IFRS)"/>
      <sheetName val="FY2014 (BIO Group IFRS)"/>
      <sheetName val="FY2013 (BIO Group IFRS)"/>
      <sheetName val="FY2012 (BIO Group IFRS)"/>
      <sheetName val="FY2015(WABIO GROUP PRC)"/>
      <sheetName val="FY2014(WABIO GROUP PRC)"/>
      <sheetName val="FY2013(WABIO GROUP PRC)"/>
      <sheetName val="2015EJE"/>
      <sheetName val="2014EJE"/>
      <sheetName val="2013EJE"/>
      <sheetName val="WABIO"/>
      <sheetName val="WABIO-ADJ"/>
      <sheetName val="WADT"/>
      <sheetName val="WADT-ADJ"/>
      <sheetName val="BIOSH"/>
      <sheetName val="BIOSH-ADJ"/>
      <sheetName val="BIOHK"/>
      <sheetName val="BIOHK-ADJ"/>
      <sheetName val="WASH"/>
      <sheetName val="WASH-ADJ"/>
      <sheetName val="BIOHLD"/>
      <sheetName val="GB Invest"/>
      <sheetName val="BIO Cayman"/>
      <sheetName val="BIOHK TB"/>
      <sheetName val="BIO HQ FS"/>
      <sheetName val="FY15-Interco Transaction"/>
      <sheetName val="FY15- Interco Balance"/>
      <sheetName val="FY-2014Interco"/>
      <sheetName val="FY-2013Interco"/>
      <sheetName val="Code"/>
      <sheetName val="Deferred Tax"/>
      <sheetName val="BS"/>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38.xml><?xml version="1.0" encoding="utf-8"?>
<externalLink xmlns="http://schemas.openxmlformats.org/spreadsheetml/2006/main">
  <externalBook xmlns:r="http://schemas.openxmlformats.org/officeDocument/2006/relationships" r:id="rId1">
    <sheetNames>
      <sheetName val="Tax Base"/>
      <sheetName val="Deferred Tax"/>
      <sheetName val="Loss Carry Forward"/>
      <sheetName val="Movement-Final"/>
      <sheetName val="master"/>
      <sheetName val="#REF"/>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9.xml><?xml version="1.0" encoding="utf-8"?>
<externalLink xmlns="http://schemas.openxmlformats.org/spreadsheetml/2006/main">
  <externalBook xmlns:r="http://schemas.openxmlformats.org/officeDocument/2006/relationships" r:id="rId1">
    <sheetNames>
      <sheetName val="Toolbox"/>
      <sheetName val="Sheet1"/>
      <sheetName val="Sheet2"/>
      <sheetName val="Sheet3"/>
      <sheetName val="预算底稿"/>
      <sheetName val="管理费用预算"/>
      <sheetName val="固定生产成本预算"/>
      <sheetName val="本期发生"/>
      <sheetName val="11度华丹"/>
      <sheetName val="13度高浓"/>
      <sheetName val="13度分配表"/>
      <sheetName val="13.65度雪花"/>
      <sheetName val="13.6雪花分配表"/>
      <sheetName val="13.65度沈阳"/>
      <sheetName val="13.65沈阳分配表"/>
      <sheetName val="11度干啤"/>
      <sheetName val="酵造过滤分配"/>
      <sheetName val="新水分配表"/>
      <sheetName val="酿造煤水电"/>
      <sheetName val="酿造麦芽"/>
      <sheetName val="汇总表"/>
      <sheetName val="煤水电备份 "/>
      <sheetName val="10.5度成本表"/>
      <sheetName val="11度雪成本表"/>
      <sheetName val="11度亚特成本表"/>
      <sheetName val="雪花干成本表"/>
      <sheetName val="华丹成本表"/>
      <sheetName val="11度沈阳鲜成本表"/>
      <sheetName val="制品辅料"/>
      <sheetName val="制品煤水电"/>
      <sheetName val="制品瓶盖商标"/>
      <sheetName val="雪花分配表"/>
      <sheetName val="雪花干分配表"/>
      <sheetName val="沈阳鲜分配表"/>
      <sheetName val="华丹分配"/>
      <sheetName val="桶酒15L"/>
      <sheetName val="桶酒20L"/>
      <sheetName val="桶酒30L"/>
      <sheetName val="桶酒10L"/>
      <sheetName val="桶酒5L"/>
      <sheetName val="桶酒20L (雪) "/>
      <sheetName val="桶酒30L (雪)  "/>
      <sheetName val="桶酒15L(华）"/>
      <sheetName val="桶酒20L（华）"/>
      <sheetName val="桶酒30L（华）"/>
      <sheetName val="桶酒20L(雪花干）"/>
      <sheetName val="SW-TEO"/>
      <sheetName val="POWER ASSUMPTIONS"/>
      <sheetName val="6月"/>
      <sheetName val="季报-表1-人数统计"/>
      <sheetName val="季报-表2-培训统计"/>
      <sheetName val="季报-表3-薪资统计"/>
      <sheetName val="季报-表4-福利统计"/>
      <sheetName val="季报-表5-员工基本信息统计"/>
      <sheetName val="季报-表6-部分专业人员信息统计"/>
      <sheetName val="季报-表7-劳务工统计"/>
      <sheetName val="月报-表8-工伤、意外事故统计"/>
      <sheetName val="月报-表9-用工争议事件统计"/>
      <sheetName val="XL4Poppy"/>
      <sheetName val="说明"/>
      <sheetName val="销量"/>
      <sheetName val="共享"/>
      <sheetName val="促销活动"/>
      <sheetName val="活动"/>
      <sheetName val="总表"/>
      <sheetName val="企业表一"/>
      <sheetName val="2002年关联方余额及交易"/>
      <sheetName val="核算项目余额表"/>
      <sheetName val="凭证抽查"/>
      <sheetName val="Ô¤Ëãµ×¸å"/>
      <sheetName val="¹ÜÀí·ÑÓÃÔ¤Ëã"/>
      <sheetName val="¹Ì¶¨Éú²ú³É±¾Ô¤Ëã"/>
      <sheetName val="±¾ÆÚ·¢Éú"/>
      <sheetName val="11¶È»ªµ¤"/>
      <sheetName val="13¶È¸ßÅ¨"/>
      <sheetName val="13¶È·ÖÅä±í"/>
      <sheetName val="13.65¶ÈÑ©»¨"/>
      <sheetName val="13.6Ñ©»¨·ÖÅä±í"/>
      <sheetName val="13.65¶ÈÉòÑô"/>
      <sheetName val="13.65ÉòÑô·ÖÅä±í"/>
      <sheetName val="11¶È¸ÉÆ¡"/>
      <sheetName val="½ÍÔì¹ýÂË·ÖÅä"/>
      <sheetName val="ÐÂË®·ÖÅä±í"/>
      <sheetName val="ÄðÔìÃºË®µç"/>
      <sheetName val="ÄðÔìÂóÑ¿"/>
      <sheetName val="»ã×Ü±í"/>
      <sheetName val="ÃºË®µç±¸·Ý "/>
      <sheetName val="10.5¶È³É±¾±í"/>
      <sheetName val="11¶ÈÑ©³É±¾±í"/>
      <sheetName val="11¶ÈÑÇÌØ³É±¾±í"/>
      <sheetName val="Ñ©»¨¸É³É±¾±í"/>
      <sheetName val="»ªµ¤³É±¾±í"/>
      <sheetName val="11¶ÈÉòÑôÏÊ³É±¾±í"/>
      <sheetName val="ÖÆÆ·¸¨ÁÏ"/>
      <sheetName val="ÖÆÆ·ÃºË®µç"/>
      <sheetName val="ÖÆÆ·Æ¿¸ÇÉÌ±ê"/>
      <sheetName val="Ñ©»¨·ÖÅä±í"/>
      <sheetName val="Ñ©»¨¸É·ÖÅä±í"/>
      <sheetName val="ÉòÑôÏÊ·ÖÅä±í"/>
      <sheetName val="»ªµ¤·ÖÅä"/>
      <sheetName val="Í°¾Æ15L"/>
      <sheetName val="Í°¾Æ20L"/>
      <sheetName val="Í°¾Æ30L"/>
      <sheetName val="Í°¾Æ10L"/>
      <sheetName val="Í°¾Æ5L"/>
      <sheetName val="Í°¾Æ20L (Ñ©) "/>
      <sheetName val="Í°¾Æ30L (Ñ©)  "/>
      <sheetName val="Í°¾Æ15L(»ª£©"/>
      <sheetName val="Í°¾Æ20L£¨»ª£©"/>
      <sheetName val="Í°¾Æ30L£¨»ª£©"/>
      <sheetName val="Í°¾Æ20L(Ñ©»¨¸É£©"/>
      <sheetName val="¼¾±¨-±í1-ÈËÊýÍ³¼Æ"/>
      <sheetName val="¼¾±¨-±í2-ÅàÑµÍ³¼Æ"/>
      <sheetName val="¼¾±¨-±í3-Ð½×ÊÍ³¼Æ"/>
      <sheetName val="¼¾±¨-±í4-¸£ÀûÍ³¼Æ"/>
      <sheetName val="¼¾±¨-±í5-Ô±¹¤»ù±¾ÐÅÏ¢Í³¼Æ"/>
      <sheetName val="¼¾±¨-±í6-²¿·Ö×¨ÒµÈËÔ±ÐÅÏ¢Í³¼Æ"/>
      <sheetName val="¼¾±¨-±í7-ÀÍÎñ¹¤Í³¼Æ"/>
      <sheetName val="ÔÂ±¨-±í8-¹¤ÉË¡¢ÒâÍâÊÂ¹ÊÍ³¼Æ"/>
      <sheetName val="ÔÂ±¨-±í9-ÓÃ¹¤ÕùÒéÊÂ¼þÍ³¼Æ"/>
      <sheetName val="ËµÃ÷"/>
      <sheetName val="ÏúÁ¿"/>
      <sheetName val="¹²Ïí"/>
      <sheetName val="´ÙÏú»î¶¯"/>
      <sheetName val="»î¶¯"/>
      <sheetName val="×Ü±í"/>
      <sheetName val="ÆóÒµ±íÒ»"/>
      <sheetName val="2002Äê¹ØÁª·½Óà¶î¼°½»Ò×"/>
      <sheetName val="ºËËãÏîÄ¿Óà¶î±í"/>
      <sheetName val="Æ¾Ö¤³é²é"/>
      <sheetName val="_¡è__¦Ì¡Á__"/>
      <sheetName val="1¨¹¨¤¨ª¡¤_¨®__¡è__"/>
      <sheetName val="1¨¬_¡§¨¦¨²2¨²3¨¦¡À__¡è__"/>
      <sheetName val="¡À__¨²¡¤¡é¨¦¨²"/>
      <sheetName val="11_¨¨_a¦Ì¡è"/>
      <sheetName val="13_¨¨___¡§"/>
      <sheetName val="13_¨¨¡¤___¡À¨ª"/>
      <sheetName val="13.65_¨¨___¡§"/>
      <sheetName val="13.6___¡§¡¤___¡À¨ª"/>
      <sheetName val="13.65_¨¨¨¦¨°__"/>
      <sheetName val="13.65¨¦¨°__¡¤___¡À¨ª"/>
      <sheetName val="11_¨¨_¨¦__"/>
      <sheetName val="_¨ª_¨¬1y__¡¤___"/>
      <sheetName val="D___¡¤___¡À¨ª"/>
      <sheetName val="_e_¨¬_o__¦Ì_"/>
      <sheetName val="_e_¨¬_¨®__"/>
      <sheetName val="__¡Á¨¹¡À¨ª"/>
      <sheetName val="_o__¦Ì_¡À_¡¤Y "/>
      <sheetName val="10.5_¨¨3¨¦¡À_¡À¨ª"/>
      <sheetName val="11_¨¨__3¨¦¡À_¡À¨ª"/>
      <sheetName val="11_¨¨__¨¬_3¨¦¡À_¡À¨ª"/>
      <sheetName val="___¡§_¨¦3¨¦¡À_¡À¨ª"/>
      <sheetName val="_a¦Ì¡è3¨¦¡À_¡À¨ª"/>
      <sheetName val="11_¨¨¨¦¨°___¨º3¨¦¡À_¡À¨ª"/>
      <sheetName val="___¡¤_¡§¨¢_"/>
      <sheetName val="___¡¤_o__¦Ì_"/>
      <sheetName val="___¡¤____¨¦¨¬¡À¨º"/>
      <sheetName val="___¡§¡¤___¡À¨ª"/>
      <sheetName val="___¡§_¨¦¡¤___¡À¨ª"/>
      <sheetName val="¨¦¨°___¨º¡¤___¡À¨ª"/>
      <sheetName val="_a¦Ì¡è¡¤___"/>
      <sheetName val="¨ª¡ã__15L"/>
      <sheetName val="¨ª¡ã__20L"/>
      <sheetName val="¨ª¡ã__30L"/>
      <sheetName val="¨ª¡ã__10L"/>
      <sheetName val="¨ª¡ã__5L"/>
      <sheetName val="¨ª¡ã__20L (__) "/>
      <sheetName val="¨ª¡ã__30L (__)  "/>
      <sheetName val="¨ª¡ã__15L(_a¡ê_"/>
      <sheetName val="¨ª¡ã__20L¡ê¡§_a¡ê_"/>
      <sheetName val="¨ª¡ã__30L¡ê¡§_a¡ê_"/>
      <sheetName val="¨ª¡ã__20L(___¡§_¨¦¡ê_"/>
      <sheetName val="__¡À¡§-¡À¨ª1-¨¨_¨ºy¨ª3__"/>
      <sheetName val="__¡À¡§-¡À¨ª2-_¨¤_¦Ì¨ª3__"/>
      <sheetName val="__¡À¡§-¡À¨ª3-D_¡Á¨º¨ª3__"/>
      <sheetName val="__¡À¡§-¡À¨ª4-_¡ê¨¤_¨ª3__"/>
      <sheetName val="¡§-¡À¨ª5-_¡À1¡è_¨´¡À_D__¡é¨ª3__"/>
      <sheetName val="6-2_¡¤_¡Á¡§¨°¦Ì¨¨__¡ÀD__¡é¨ª3__"/>
      <sheetName val="__¡À¡§-¡À¨ª7-¨¤¨ª__1¡è¨ª3__"/>
      <sheetName val="À¨ª8-1¡è¨¦__¡é¨°a¨ªa¨º_1¨º¨ª3__"/>
      <sheetName val="§-¡À¨ª9-¨®_1¡è_¨´¨°¨¦¨º__t¨ª3__"/>
      <sheetName val="_¦Ì_¡Â"/>
      <sheetName val="_¨²¨¢_"/>
      <sheetName val="12_¨ª"/>
      <sheetName val="¡ä¨´_¨²___¡¥"/>
      <sheetName val="___¡¥"/>
      <sheetName val="¡Á¨¹¡À¨ª"/>
      <sheetName val="_¨®¨°¦Ì¡À¨ª¨°_"/>
      <sheetName val="应收票据(关联方)"/>
      <sheetName val="B"/>
      <sheetName val="M-5C"/>
      <sheetName val="M-5A"/>
      <sheetName val="10-3.向关联方采购固定资产"/>
      <sheetName val="#REF!"/>
      <sheetName val="detail"/>
      <sheetName val="所得税凭证抽查"/>
      <sheetName val="GPTLBX90"/>
      <sheetName val="13_65度雪花"/>
      <sheetName val="13_6雪花分配表"/>
      <sheetName val="13_65度沈阳"/>
      <sheetName val="13_65沈阳分配表"/>
      <sheetName val="煤水电备份_"/>
      <sheetName val="10_5度成本表"/>
      <sheetName val="桶酒20L_(雪)_"/>
      <sheetName val="桶酒30L_(雪)__"/>
      <sheetName val="POWER_ASSUMPTIONS"/>
      <sheetName val="13_65¶ÈÑ©»¨"/>
      <sheetName val="13_6Ñ©»¨·ÖÅä±í"/>
      <sheetName val="13_65¶ÈÉòÑô"/>
      <sheetName val="13_65ÉòÑô·ÖÅä±í"/>
      <sheetName val="ÃºË®µç±¸·Ý_"/>
      <sheetName val="10_5¶È³É±¾±í"/>
      <sheetName val="Í°¾Æ20L_(Ñ©)_"/>
      <sheetName val="Í°¾Æ30L_(Ñ©)__"/>
      <sheetName val="13_65_¨¨___¡§"/>
      <sheetName val="13_6___¡§¡¤___¡À¨ª"/>
      <sheetName val="13_65_¨¨¨¦¨°__"/>
      <sheetName val="13_65¨¦¨°__¡¤___¡À¨ª"/>
      <sheetName val="_o__¦Ì_¡À_¡¤Y_"/>
      <sheetName val="10_5_¨¨3¨¦¡À_¡À¨ª"/>
      <sheetName val="¨ª¡ã__20L_(__)_"/>
      <sheetName val="¨ª¡ã__30L_(__)__"/>
      <sheetName val="10-3_向关联方采购固定资产"/>
      <sheetName val="Open"/>
      <sheetName val="Sheet225"/>
      <sheetName val="KKKKKKKK"/>
      <sheetName val="_x005f_x0000__x005f_x0000__x005f_x0000__x005f_x0000__x0"/>
      <sheetName val="M11"/>
      <sheetName val="M11-1"/>
      <sheetName val="Schieber"/>
      <sheetName val="ラミ"/>
      <sheetName val="BPBF4PLCUSD2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140.xml><?xml version="1.0" encoding="utf-8"?>
<externalLink xmlns="http://schemas.openxmlformats.org/spreadsheetml/2006/main">
  <externalBook xmlns:r="http://schemas.openxmlformats.org/officeDocument/2006/relationships" r:id="rId1">
    <sheetNames>
      <sheetName val="Total_A(A&amp;B)"/>
      <sheetName val="production dept"/>
      <sheetName val="Data"/>
      <sheetName val="SH Reconciliation"/>
      <sheetName val="Toolbox"/>
    </sheetNames>
    <sheetDataSet>
      <sheetData sheetId="0" refreshError="1"/>
      <sheetData sheetId="1" refreshError="1"/>
      <sheetData sheetId="2" refreshError="1"/>
      <sheetData sheetId="3" refreshError="1"/>
      <sheetData sheetId="4" refreshError="1"/>
    </sheetDataSet>
  </externalBook>
</externalLink>
</file>

<file path=xl/externalLinks/externalLink141.xml><?xml version="1.0" encoding="utf-8"?>
<externalLink xmlns="http://schemas.openxmlformats.org/spreadsheetml/2006/main">
  <externalBook xmlns:r="http://schemas.openxmlformats.org/officeDocument/2006/relationships" r:id="rId1">
    <sheetNames>
      <sheetName val="production dept"/>
      <sheetName val="指南-中文"/>
      <sheetName val="fixed assets"/>
      <sheetName val="General"/>
      <sheetName val="9609추"/>
      <sheetName val="Total_A(A&amp;B)"/>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42.xml><?xml version="1.0" encoding="utf-8"?>
<externalLink xmlns="http://schemas.openxmlformats.org/spreadsheetml/2006/main">
  <externalBook xmlns:r="http://schemas.openxmlformats.org/officeDocument/2006/relationships" r:id="rId1">
    <sheetNames>
      <sheetName val="Raw material"/>
      <sheetName val="fixed assets"/>
      <sheetName val="Input"/>
      <sheetName val="存货汇总表10"/>
      <sheetName val="Library Procedures"/>
    </sheetNames>
    <sheetDataSet>
      <sheetData sheetId="0" refreshError="1"/>
      <sheetData sheetId="1" refreshError="1"/>
      <sheetData sheetId="2" refreshError="1"/>
      <sheetData sheetId="3" refreshError="1"/>
      <sheetData sheetId="4" refreshError="1"/>
    </sheetDataSet>
  </externalBook>
</externalLink>
</file>

<file path=xl/externalLinks/externalLink143.xml><?xml version="1.0" encoding="utf-8"?>
<externalLink xmlns="http://schemas.openxmlformats.org/spreadsheetml/2006/main">
  <externalBook xmlns:r="http://schemas.openxmlformats.org/officeDocument/2006/relationships" r:id="rId1">
    <sheetNames>
      <sheetName val="Drivers"/>
      <sheetName val="Input"/>
      <sheetName val="GoodWill"/>
      <sheetName val="1.Sum"/>
      <sheetName val="2.Trad"/>
      <sheetName val="3.CF&amp;BS"/>
      <sheetName val="4.ProdSum"/>
      <sheetName val="5.V&amp;P"/>
      <sheetName val="6.Seg"/>
      <sheetName val="7.Comm"/>
      <sheetName val="8.Opr"/>
      <sheetName val="Unit1"/>
      <sheetName val="U1Graph"/>
      <sheetName val="8.Data"/>
      <sheetName val="Sheet1"/>
      <sheetName val="Interim"/>
      <sheetName val="Interro"/>
      <sheetName val="평가기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44.xml><?xml version="1.0" encoding="utf-8"?>
<externalLink xmlns="http://schemas.openxmlformats.org/spreadsheetml/2006/main">
  <externalBook xmlns:r="http://schemas.openxmlformats.org/officeDocument/2006/relationships" r:id="rId1">
    <sheetNames>
      <sheetName val="台账"/>
      <sheetName val="Sheet2"/>
      <sheetName val="Consultants local currency"/>
      <sheetName val="Listing Expenses"/>
      <sheetName val="Issuing Stats"/>
      <sheetName val="-SH"/>
      <sheetName val="-GZ"/>
      <sheetName val="-SZ"/>
      <sheetName val="-WZ"/>
      <sheetName val="OTA"/>
      <sheetName val="FMT"/>
      <sheetName val="CDFMA"/>
      <sheetName val="NJFMA"/>
      <sheetName val="WHFMA"/>
      <sheetName val="Summary"/>
      <sheetName val="-BJ"/>
      <sheetName val="Deferred Tax"/>
      <sheetName val="WASH"/>
      <sheetName val="BIO Cayman"/>
      <sheetName val="GB Invest"/>
      <sheetName val="FY2012 (BIO Group IFRS)"/>
      <sheetName val="FY2015 (BIO Group IFRS)"/>
      <sheetName val="FY2013 (BIO Group IFRS)"/>
      <sheetName val="FY2014 (BIO Group IFRS)"/>
      <sheetName val="BIOHLD"/>
      <sheetName val="WABIO"/>
      <sheetName val="BIOS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45.xml><?xml version="1.0" encoding="utf-8"?>
<externalLink xmlns="http://schemas.openxmlformats.org/spreadsheetml/2006/main">
  <externalBook xmlns:r="http://schemas.openxmlformats.org/officeDocument/2006/relationships" r:id="rId1">
    <sheetNames>
      <sheetName val="Summary"/>
      <sheetName val="SHFMA"/>
      <sheetName val="-SH"/>
      <sheetName val="-BJ"/>
      <sheetName val="-GZ"/>
      <sheetName val="-SZ"/>
      <sheetName val="-WZ"/>
      <sheetName val="OTA"/>
      <sheetName val="SHFMA2"/>
      <sheetName val="FMT"/>
      <sheetName val="Perfect Media"/>
      <sheetName val="CDFMA"/>
      <sheetName val="NJFMA"/>
      <sheetName val="WHFMA"/>
      <sheetName val="FMH"/>
      <sheetName val="FMC"/>
      <sheetName val="HZFMA"/>
      <sheetName val="CSFMA"/>
      <sheetName val="QDFMA"/>
      <sheetName val="DLFMA"/>
      <sheetName val="KMFMA"/>
      <sheetName val="Movement-Final"/>
      <sheetName val="REFERE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46.xml><?xml version="1.0" encoding="utf-8"?>
<externalLink xmlns="http://schemas.openxmlformats.org/spreadsheetml/2006/main">
  <externalBook xmlns:r="http://schemas.openxmlformats.org/officeDocument/2006/relationships" r:id="rId1">
    <sheetNames>
      <sheetName val="Group Summary"/>
      <sheetName val="FMH"/>
      <sheetName val="FMC"/>
      <sheetName val="FMT"/>
      <sheetName val="OTA"/>
      <sheetName val="Perfect Media"/>
      <sheetName val="Summary SHFMA"/>
      <sheetName val="SHFMA"/>
      <sheetName val="SHFMA2"/>
      <sheetName val="BJ"/>
      <sheetName val="GZ"/>
      <sheetName val="SZ"/>
      <sheetName val="WZ"/>
      <sheetName val="NJFMA"/>
      <sheetName val="CDFMA"/>
      <sheetName val="WHFMA"/>
      <sheetName val="KMFMA"/>
      <sheetName val="HZFMA"/>
      <sheetName val="DLFMA"/>
      <sheetName val="QDFMA"/>
      <sheetName val="CSFMA"/>
      <sheetName val="CQFMA"/>
      <sheetName val="Summary"/>
      <sheetName val="XREF"/>
      <sheetName val="GILBPBFGEUR10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7.xml><?xml version="1.0" encoding="utf-8"?>
<externalLink xmlns="http://schemas.openxmlformats.org/spreadsheetml/2006/main">
  <externalBook xmlns:r="http://schemas.openxmlformats.org/officeDocument/2006/relationships" r:id="rId1">
    <sheetNames>
      <sheetName val="Summary"/>
      <sheetName val="FMC"/>
      <sheetName val="FMH"/>
      <sheetName val="FMT"/>
      <sheetName val="SHFMA"/>
      <sheetName val="FMA2"/>
      <sheetName val="完美  "/>
      <sheetName val="FMT2"/>
      <sheetName val="OTA"/>
      <sheetName val="CD FMA"/>
      <sheetName val="NJ FMA"/>
      <sheetName val="WH FMA"/>
      <sheetName val="DLFMA"/>
      <sheetName val="QD FMA"/>
      <sheetName val="CS FMA"/>
      <sheetName val="CQFMA"/>
      <sheetName val="KM FMA"/>
      <sheetName val="HZ FMA"/>
      <sheetName val="Tickmarks"/>
      <sheetName val="-SH"/>
      <sheetName val="-GZ"/>
      <sheetName val="-SZ"/>
      <sheetName val="-WZ"/>
      <sheetName val="CDFMA"/>
      <sheetName val="NJFMA"/>
      <sheetName val="WHFMA"/>
      <sheetName val="-BJ"/>
      <sheetName val="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48.xml><?xml version="1.0" encoding="utf-8"?>
<externalLink xmlns="http://schemas.openxmlformats.org/spreadsheetml/2006/main">
  <externalBook xmlns:r="http://schemas.openxmlformats.org/officeDocument/2006/relationships" r:id="rId1">
    <sheetNames>
      <sheetName val="Conso FS"/>
      <sheetName val="Conso TB"/>
      <sheetName val="Cashflow"/>
      <sheetName val="EJE"/>
      <sheetName val="AJE"/>
      <sheetName val="Tax"/>
      <sheetName val="Investment"/>
      <sheetName val="MI"/>
      <sheetName val="Goodwill"/>
      <sheetName val="Reserve"/>
      <sheetName val="Intangible"/>
      <sheetName val="1FMH"/>
      <sheetName val="2FMC"/>
      <sheetName val="3FMT"/>
      <sheetName val="FMA consol"/>
      <sheetName val="4-SH"/>
      <sheetName val="5-BJ"/>
      <sheetName val="6-GZ"/>
      <sheetName val="7-SZ"/>
      <sheetName val="8-WZ"/>
      <sheetName val="9FMA2"/>
      <sheetName val="10CD"/>
      <sheetName val="11NJ"/>
      <sheetName val="12WH"/>
      <sheetName val="13KM"/>
      <sheetName val="14HZ"/>
      <sheetName val="15PM"/>
      <sheetName val="16OTA"/>
      <sheetName val="17CQ"/>
      <sheetName val="18QD"/>
      <sheetName val="19CS"/>
      <sheetName val="20DL"/>
      <sheetName val="21Bank TV"/>
      <sheetName val="22T2"/>
      <sheetName val="23XA"/>
      <sheetName val="24TJ"/>
      <sheetName val="25ZH"/>
      <sheetName val="26XM"/>
      <sheetName val="27SJZ"/>
      <sheetName val="28KJ"/>
      <sheetName val="Summary"/>
      <sheetName val="财务费用、营业外收支"/>
      <sheetName val="CQFMA"/>
      <sheetName val="AP aging analysis"/>
      <sheetName val="04.9.30"/>
      <sheetName val="SHFMA"/>
      <sheetName val="CD FMA"/>
      <sheetName val="FMC"/>
      <sheetName val="FMT"/>
      <sheetName val="Consolidated TB"/>
      <sheetName val="OTA"/>
      <sheetName val="Group Summary"/>
      <sheetName val="CE"/>
      <sheetName val="销售成本"/>
      <sheetName val="管理费用"/>
      <sheetName val="利润表"/>
      <sheetName val="财务费用"/>
      <sheetName val="2002.12.31Leasehold MV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49.xml><?xml version="1.0" encoding="utf-8"?>
<externalLink xmlns="http://schemas.openxmlformats.org/spreadsheetml/2006/main">
  <externalBook xmlns:r="http://schemas.openxmlformats.org/officeDocument/2006/relationships" r:id="rId1">
    <sheetNames>
      <sheetName val="CE"/>
      <sheetName val="Disclosure"/>
      <sheetName val="#1(BS)"/>
      <sheetName val="#2(IS)"/>
      <sheetName val="#5-1_Purchase"/>
      <sheetName val="FMT"/>
      <sheetName val="SHFMA"/>
      <sheetName val="PLCFIN4USD"/>
      <sheetName val="6-G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0.xml><?xml version="1.0" encoding="utf-8"?>
<externalLink xmlns="http://schemas.openxmlformats.org/spreadsheetml/2006/main">
  <externalBook xmlns:r="http://schemas.openxmlformats.org/officeDocument/2006/relationships" r:id="rId1">
    <sheetNames>
      <sheetName val="2005发生额"/>
      <sheetName val="1-2月新增"/>
      <sheetName val="1月固定资产清单"/>
      <sheetName val="2月固定资产清单"/>
      <sheetName val="折旧计提 1-2"/>
      <sheetName val="04年12月固定资产清单"/>
      <sheetName val="1-2月已处置资产"/>
      <sheetName val="草稿2"/>
      <sheetName val="草稿1"/>
      <sheetName val="bpbgbvplceur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1.xml><?xml version="1.0" encoding="utf-8"?>
<externalLink xmlns="http://schemas.openxmlformats.org/spreadsheetml/2006/main">
  <externalBook xmlns:r="http://schemas.openxmlformats.org/officeDocument/2006/relationships" r:id="rId1">
    <sheetNames>
      <sheetName val="Status"/>
      <sheetName val="Disclosure"/>
      <sheetName val="PRC"/>
      <sheetName val="PRC posting"/>
      <sheetName val="PRC adj."/>
      <sheetName val="利润表(除所得税)"/>
      <sheetName val="货币资金"/>
      <sheetName val="存货"/>
      <sheetName val="其他流动资产"/>
      <sheetName val="应收账款"/>
      <sheetName val="其他应付款"/>
      <sheetName val="其他应收款"/>
      <sheetName val="应收利息"/>
      <sheetName val="预付账款"/>
      <sheetName val="应付账款"/>
      <sheetName val="预收账款"/>
      <sheetName val="应付利息"/>
      <sheetName val="应交税费"/>
      <sheetName val="递延收益"/>
      <sheetName val="长短期借款"/>
      <sheetName val="一年内到期的非流动负债"/>
      <sheetName val="长期股权投资"/>
      <sheetName val="固定资产"/>
      <sheetName val="投资性房地产"/>
      <sheetName val="无形资产"/>
      <sheetName val="长期待摊费用"/>
      <sheetName val="在建工程"/>
      <sheetName val="应付职工薪酬"/>
      <sheetName val="递延所得税&amp;当期所得税"/>
      <sheetName val="所得税纳税调节表"/>
      <sheetName val="关联方销售"/>
      <sheetName val="关联方采购"/>
      <sheetName val="附属事项"/>
      <sheetName val="SHFMA"/>
      <sheetName val="CD FMA"/>
      <sheetName val="FMC"/>
      <sheetName val="FMT"/>
      <sheetName val="PLCGBVEU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52.xml><?xml version="1.0" encoding="utf-8"?>
<externalLink xmlns="http://schemas.openxmlformats.org/spreadsheetml/2006/main">
  <externalBook xmlns:r="http://schemas.openxmlformats.org/officeDocument/2006/relationships" r:id="rId1">
    <sheetNames>
      <sheetName val="Raw"/>
      <sheetName val="2017.1-9"/>
      <sheetName val="2016.1-9"/>
      <sheetName val="2016.1-12"/>
      <sheetName val="2015.1-12"/>
      <sheetName val="词库处理"/>
      <sheetName val="Status"/>
      <sheetName val="TT"/>
      <sheetName val="预收账款"/>
      <sheetName val="预付账款"/>
      <sheetName val="存货"/>
      <sheetName val="营业外收支"/>
      <sheetName val="运营费用"/>
      <sheetName val="主营业务成本"/>
      <sheetName val="管理费用"/>
      <sheetName val="研发费用"/>
      <sheetName val="销售费用"/>
      <sheetName val="财务费用"/>
      <sheetName val="税金及附加"/>
      <sheetName val="投资收益"/>
      <sheetName val="主营业务收入"/>
      <sheetName val="资产减值损失"/>
      <sheetName val="其他应收款"/>
      <sheetName val="应收账款"/>
      <sheetName val="应付账款"/>
      <sheetName val="其他应付款"/>
      <sheetName val="无形资产"/>
      <sheetName val="应付职工薪酬"/>
      <sheetName val="固定资产"/>
      <sheetName val="应交税费"/>
      <sheetName val="ADJ"/>
      <sheetName val="REFERENCE"/>
      <sheetName val="Sheet2"/>
      <sheetName val="CQFMA"/>
      <sheetName val="BS"/>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53.xml><?xml version="1.0" encoding="utf-8"?>
<externalLink xmlns="http://schemas.openxmlformats.org/spreadsheetml/2006/main">
  <externalBook xmlns:r="http://schemas.openxmlformats.org/officeDocument/2006/relationships" r:id="rId1">
    <sheetNames>
      <sheetName val="简要说明"/>
      <sheetName val="CUSTOMER BALANCE"/>
      <sheetName val="TRIAL BALANCE (LOCAL GAAP) "/>
      <sheetName val="TRIAL BALANCE (US GAAP)"/>
      <sheetName val="Natural Account"/>
      <sheetName val="REFERENCE"/>
      <sheetName val="legal entity--原文思"/>
      <sheetName val="MTX-AR"/>
      <sheetName val="OTA"/>
      <sheetName val="Group Summary"/>
      <sheetName val="Movement-Fin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54.xml><?xml version="1.0" encoding="utf-8"?>
<externalLink xmlns="http://schemas.openxmlformats.org/spreadsheetml/2006/main">
  <externalBook xmlns:r="http://schemas.openxmlformats.org/officeDocument/2006/relationships" r:id="rId1">
    <sheetNames>
      <sheetName val="MTX-AR"/>
      <sheetName val="MTX-AR CS"/>
      <sheetName val="MTX-Interco CS"/>
      <sheetName val="裕明投资询证函控制表"/>
      <sheetName val="Matrix销售截止性测试"/>
      <sheetName val="Marix2010年底销售统计"/>
      <sheetName val="AP"/>
      <sheetName val="MTX-AP CS "/>
      <sheetName val="Matrix采购截止性测试"/>
      <sheetName val="2010年底Matrix采购统计"/>
      <sheetName val="远期购销合同-Matrix"/>
      <sheetName val="Discount rate"/>
      <sheetName val="Sales"/>
      <sheetName val="麦迪信信用证分析"/>
      <sheetName val="PE"/>
      <sheetName val="Balance sheet"/>
      <sheetName val="Income Stm"/>
      <sheetName val="Non-Statistical Sampling Master"/>
      <sheetName val="底稿"/>
      <sheetName val="麦迪信-主营业务收入"/>
      <sheetName val="XREF"/>
      <sheetName val="P&amp;L Forecast 预测to联交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55.xml><?xml version="1.0" encoding="utf-8"?>
<externalLink xmlns="http://schemas.openxmlformats.org/spreadsheetml/2006/main">
  <externalBook xmlns:r="http://schemas.openxmlformats.org/officeDocument/2006/relationships" r:id="rId1">
    <sheetNames>
      <sheetName val="参数"/>
      <sheetName val="12-1管理费填列说明"/>
      <sheetName val="工资性费用预算"/>
      <sheetName val="其他管理费用预算"/>
      <sheetName val="福利费明细"/>
      <sheetName val="12管理费用"/>
      <sheetName val="营销人员薪酬"/>
      <sheetName val="开发间接费用"/>
      <sheetName val="Conclus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6.xml><?xml version="1.0" encoding="utf-8"?>
<externalLink xmlns="http://schemas.openxmlformats.org/spreadsheetml/2006/main">
  <externalBook xmlns:r="http://schemas.openxmlformats.org/officeDocument/2006/relationships" r:id="rId1">
    <sheetNames>
      <sheetName val="应付利息movement"/>
      <sheetName val="长期应收款Movement CF"/>
      <sheetName val="Warranty Movement"/>
      <sheetName val="底稿"/>
      <sheetName val="Count"/>
      <sheetName val="Disclosure"/>
      <sheetName val="其他应收款调整 Movement"/>
      <sheetName val="转自持金额"/>
      <sheetName val="514"/>
      <sheetName val="零首付零售"/>
      <sheetName val="克莱斯勒项目"/>
      <sheetName val="任意贷"/>
      <sheetName val="大客户"/>
      <sheetName val="克莱斯勒"/>
      <sheetName val="优信拍"/>
      <sheetName val="优信付"/>
      <sheetName val="拨备率"/>
      <sheetName val="Sheet2"/>
      <sheetName val="Sheet1"/>
      <sheetName val="差异比对"/>
      <sheetName val="调整分录"/>
      <sheetName val="F1"/>
      <sheetName val="收入分配比例表"/>
      <sheetName val="母公司FS分析"/>
      <sheetName val="2月收入成本明细表"/>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57.xml><?xml version="1.0" encoding="utf-8"?>
<externalLink xmlns="http://schemas.openxmlformats.org/spreadsheetml/2006/main">
  <externalBook xmlns:r="http://schemas.openxmlformats.org/officeDocument/2006/relationships" r:id="rId1">
    <sheetNames>
      <sheetName val="台账"/>
      <sheetName val="Sheet2"/>
      <sheetName val="Summary-P"/>
      <sheetName val="Occ, Other Rev, Exp, Dispo"/>
      <sheetName val="MTX-AR"/>
      <sheetName val="Non-Statistical Sampling Master"/>
      <sheetName val="麦迪信-主营业务收入"/>
      <sheetName val="SHFM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8.xml><?xml version="1.0" encoding="utf-8"?>
<externalLink xmlns="http://schemas.openxmlformats.org/spreadsheetml/2006/main">
  <externalBook xmlns:r="http://schemas.openxmlformats.org/officeDocument/2006/relationships" r:id="rId1">
    <sheetNames>
      <sheetName val="Sheet3"/>
      <sheetName val="商业中心-所有者权益"/>
      <sheetName val="商业中心-无形资产"/>
      <sheetName val="商业中心-在建工程"/>
      <sheetName val="商业中心-OR"/>
      <sheetName val="商业中心-应缴税费"/>
      <sheetName val="商业中心-其他应付款"/>
      <sheetName val="麦迪信-存货"/>
      <sheetName val="存货明细"/>
      <sheetName val="麦迪信-可变现净值"/>
      <sheetName val="麦迪信采购截止性测试"/>
      <sheetName val="远期购销合同-Matrix"/>
      <sheetName val="Matrix销售截止性测试"/>
      <sheetName val="Sheet1"/>
      <sheetName val="Marix2011年底销售统计"/>
      <sheetName val="麦迪信-长期股权投资"/>
      <sheetName val="麦迪信-HK CIT"/>
      <sheetName val="麦迪信-DT"/>
      <sheetName val="Sheet2"/>
      <sheetName val="麦迪信-主营业务收入"/>
      <sheetName val="麦迪信-第三方销售清单"/>
      <sheetName val="麦迪信-投资收益"/>
      <sheetName val="裕明投资-所有者权益"/>
      <sheetName val="裕明投资-其他应收款"/>
      <sheetName val="裕明投资-其他应付款"/>
      <sheetName val="裕明投资-营业收入"/>
      <sheetName val="裕明投资-CIT"/>
      <sheetName val="中西部-CIP"/>
      <sheetName val="中西部-IA"/>
      <sheetName val="中西部-长投"/>
      <sheetName val="中西部-其他非流动资产"/>
      <sheetName val="中西部-所有者权益"/>
      <sheetName val="中西部-应交税金"/>
      <sheetName val="裕明投资-其他应收款 (2)"/>
      <sheetName val="Listing Expenses (Form)"/>
      <sheetName val="VAL"/>
      <sheetName val="#1(BS)"/>
      <sheetName val="#2(IS)"/>
      <sheetName val="#5-1_Purchase"/>
      <sheetName val="底稿"/>
      <sheetName val="6-G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59.xml><?xml version="1.0" encoding="utf-8"?>
<externalLink xmlns="http://schemas.openxmlformats.org/spreadsheetml/2006/main">
  <externalBook xmlns:r="http://schemas.openxmlformats.org/officeDocument/2006/relationships" r:id="rId1">
    <sheetNames>
      <sheetName val="清单1.1"/>
      <sheetName val="固定资产清单"/>
      <sheetName val="清单12.31"/>
      <sheetName val="变动9901"/>
      <sheetName val="变动9912"/>
      <sheetName val="明细帐"/>
      <sheetName val="房屋建筑"/>
      <sheetName val="汽车"/>
      <sheetName val="机电"/>
      <sheetName val="家具"/>
      <sheetName val="电脑打印机"/>
      <sheetName val="经租机电"/>
      <sheetName val="职工产权房"/>
      <sheetName val="处理-报废"/>
      <sheetName val="处理-其他减少"/>
      <sheetName val="BPBGBVSTAWIANYEU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60.xml><?xml version="1.0" encoding="utf-8"?>
<externalLink xmlns="http://schemas.openxmlformats.org/spreadsheetml/2006/main">
  <externalBook xmlns:r="http://schemas.openxmlformats.org/officeDocument/2006/relationships" r:id="rId1">
    <sheetNames>
      <sheetName val="初始设定"/>
      <sheetName val="清单1.1"/>
      <sheetName val="固定资产清单"/>
      <sheetName val="清单12.31"/>
      <sheetName val="变动9901"/>
      <sheetName val="变动9912"/>
      <sheetName val="明细帐"/>
      <sheetName val="房屋建筑"/>
      <sheetName val="汽车"/>
      <sheetName val="机电"/>
      <sheetName val="家具"/>
      <sheetName val="电脑打印机"/>
      <sheetName val="经租机电"/>
      <sheetName val="职工产权房"/>
      <sheetName val="处理-报废"/>
      <sheetName val="预收帐款"/>
      <sheetName val="固定资产"/>
      <sheetName val="长期股权投资"/>
      <sheetName val="长期应付款"/>
      <sheetName val="长期应收款"/>
      <sheetName val="持有至到期投资"/>
      <sheetName val="递延所得税资产和递延所得税负债"/>
      <sheetName val="短期借款"/>
      <sheetName val="股本"/>
      <sheetName val="或有事项"/>
      <sheetName val="可供出售金融资产"/>
      <sheetName val="母公司财务报表主要项目注释(长期股权投资)"/>
      <sheetName val="关联方交易"/>
      <sheetName val="母公司财务报表主要项目注释(其他应收款)"/>
      <sheetName val="母公司财务报表主要项目注释(应收账款)"/>
      <sheetName val="其他事项说明"/>
      <sheetName val="其他应付款"/>
      <sheetName val="其他应收款"/>
      <sheetName val="其他综合收益"/>
      <sheetName val="封面"/>
      <sheetName val="生产性生物资产"/>
      <sheetName val="应付债券"/>
      <sheetName val="应付职工薪酬"/>
      <sheetName val="应收票据"/>
      <sheetName val="应收账款"/>
      <sheetName val="营业收入及营业成本"/>
      <sheetName val="预付款项"/>
      <sheetName val="在建工程"/>
      <sheetName val="短期投资股票投资.dbf"/>
      <sheetName val="短期投资国债投资.dbf"/>
      <sheetName val="股票投资收益.dbf"/>
      <sheetName val="其他货币海通.dbf"/>
      <sheetName val="其他货币零领路.dbf"/>
      <sheetName val="投资收益债券.dbf"/>
      <sheetName val="工时统计"/>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目录"/>
      <sheetName val="科目"/>
      <sheetName val="BPBFGPLCEU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61.xml><?xml version="1.0" encoding="utf-8"?>
<externalLink xmlns="http://schemas.openxmlformats.org/spreadsheetml/2006/main">
  <externalBook xmlns:r="http://schemas.openxmlformats.org/officeDocument/2006/relationships" r:id="rId1">
    <sheetNames>
      <sheetName val="1"/>
      <sheetName val="2"/>
      <sheetName val="3"/>
      <sheetName val="4"/>
      <sheetName val="5"/>
      <sheetName val="6"/>
      <sheetName val="7"/>
      <sheetName val="工时统计"/>
      <sheetName val="2000年年报附注格式盘"/>
      <sheetName val="BPBINVPLCUS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2.xml><?xml version="1.0" encoding="utf-8"?>
<externalLink xmlns="http://schemas.openxmlformats.org/spreadsheetml/2006/main">
  <externalBook xmlns:r="http://schemas.openxmlformats.org/officeDocument/2006/relationships" r:id="rId1">
    <sheetNames>
      <sheetName val="2003年度关联交易汇总 (3)"/>
      <sheetName val="关联方销售查证"/>
      <sheetName val="关联采购查证 (2)"/>
      <sheetName val="应付款明细表 (2)"/>
      <sheetName val="预付 (2)"/>
      <sheetName val="物资采购含税转出"/>
      <sheetName val="回函汇总表"/>
      <sheetName val="存货余额表"/>
      <sheetName val="存货分析"/>
      <sheetName val="各月存货结构"/>
      <sheetName val="物资采购说明"/>
      <sheetName val="原材料仓库与财务对账"/>
      <sheetName val="8-12月计价汇总"/>
      <sheetName val="12月面料仓库账及计价"/>
      <sheetName val="12月辅料仓库账及计价"/>
      <sheetName val="11月面料计价"/>
      <sheetName val="11月辅料计价"/>
      <sheetName val="10月面料计价"/>
      <sheetName val="10月辅料计价"/>
      <sheetName val="原材料计价9月面料"/>
      <sheetName val="原材料计价9月辅料"/>
      <sheetName val="产成品"/>
      <sheetName val="产成品计价测试"/>
      <sheetName val="发出商品与委托加工物资"/>
      <sheetName val="生产成本"/>
      <sheetName val="数量分析"/>
      <sheetName val="原材料发出分析"/>
      <sheetName val="制造费用"/>
      <sheetName val="生产及销售成本"/>
      <sheetName val="原材料分析"/>
      <sheetName val="直销"/>
      <sheetName val="存货说明书"/>
      <sheetName val="存货跌价准备金额 (2)"/>
      <sheetName val="其他存货跌价"/>
      <sheetName val="直销厅跌价"/>
      <sheetName val="单个存货跌价准备明细表 (2)"/>
      <sheetName val="初始设定"/>
      <sheetName val="工时统计"/>
      <sheetName val="或有事项"/>
      <sheetName val="关联方交易"/>
      <sheetName val="其他综合收益"/>
      <sheetName val="封面"/>
      <sheetName val="BS+PL0503-S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63.xml><?xml version="1.0" encoding="utf-8"?>
<externalLink xmlns="http://schemas.openxmlformats.org/spreadsheetml/2006/main">
  <externalBook xmlns:r="http://schemas.openxmlformats.org/officeDocument/2006/relationships" r:id="rId1">
    <sheetNames>
      <sheetName val="0000000"/>
      <sheetName val="VXXXXXX"/>
      <sheetName val="Cover sheet"/>
      <sheetName val="table of contents"/>
      <sheetName val="TB_2006"/>
      <sheetName val="#1(BS)"/>
      <sheetName val="#2(IS)"/>
      <sheetName val="#2-1(IS)"/>
      <sheetName val="#3(CF)"/>
      <sheetName val="#4(WTB)"/>
      <sheetName val="#4-1(A5)_PRC adjustments_NA"/>
      <sheetName val="#4-2(A5)_IAS adjustments_NA"/>
      <sheetName val="#5-1_Purchase"/>
      <sheetName val="#5 "/>
      <sheetName val="#5-2_PPE"/>
      <sheetName val="#5-3"/>
      <sheetName val="#6_Bank borrowings"/>
      <sheetName val="#7_Insurance converage"/>
      <sheetName val="#8_NA"/>
      <sheetName val="#9_Tax_NA"/>
      <sheetName val="#10_Equity"/>
      <sheetName val="details"/>
      <sheetName val="REFERENCE"/>
      <sheetName val="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64.xml><?xml version="1.0" encoding="utf-8"?>
<externalLink xmlns="http://schemas.openxmlformats.org/spreadsheetml/2006/main">
  <externalBook xmlns:r="http://schemas.openxmlformats.org/officeDocument/2006/relationships" r:id="rId1">
    <sheetNames>
      <sheetName val="Index"/>
      <sheetName val="存货－电脑配件"/>
      <sheetName val="存货－其他"/>
      <sheetName val="其他流动资产-预付供应商"/>
      <sheetName val="其他应收款-员工借款"/>
      <sheetName val="待摊费用-办公房租"/>
      <sheetName val="应付账款-供应商"/>
      <sheetName val="应付账款－代理佣金"/>
      <sheetName val="应付账款－其他"/>
      <sheetName val="应付账款－职业服务费"/>
      <sheetName val="预提－佣金"/>
      <sheetName val="预提－审计费"/>
      <sheetName val="预提－广告"/>
      <sheetName val="预提－法律顾问费 "/>
      <sheetName val="预提－职业服务费"/>
      <sheetName val="预提-推广促消费"/>
      <sheetName val="预提-场地租赁费"/>
      <sheetName val="预提-积分奖品"/>
      <sheetName val="预提-报销费用"/>
      <sheetName val="预提-办公房租"/>
      <sheetName val="预提-其他"/>
      <sheetName val="details"/>
      <sheetName val="2月收入成本明细表"/>
      <sheetName val="MTX-AR"/>
      <sheetName val="#1(BS)"/>
      <sheetName val="#2(IS)"/>
      <sheetName val="#5-1_Purch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65.xml><?xml version="1.0" encoding="utf-8"?>
<externalLink xmlns="http://schemas.openxmlformats.org/spreadsheetml/2006/main">
  <externalBook xmlns:r="http://schemas.openxmlformats.org/officeDocument/2006/relationships" r:id="rId1">
    <sheetNames>
      <sheetName val="收入成本表"/>
      <sheetName val="库龄分析表"/>
      <sheetName val="库存余额表"/>
      <sheetName val="库存差异表"/>
      <sheetName val="2月待转进项税明细"/>
      <sheetName val="2月深圳销售收入明细"/>
      <sheetName val="2月上海销售收入明细"/>
      <sheetName val="2月惠州销售收入明细"/>
      <sheetName val="2月惠州备损件明细"/>
      <sheetName val="2月深圳备损件明细"/>
      <sheetName val="2月上海备损件明细"/>
      <sheetName val="2月收入成本明细表"/>
      <sheetName val="Code"/>
      <sheetName val="2008 New hire"/>
      <sheetName val="param"/>
      <sheetName val="Disclosure"/>
      <sheetName val="REFERE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66.xml><?xml version="1.0" encoding="utf-8"?>
<externalLink xmlns="http://schemas.openxmlformats.org/spreadsheetml/2006/main">
  <externalBook xmlns:r="http://schemas.openxmlformats.org/officeDocument/2006/relationships" r:id="rId1">
    <sheetNames>
      <sheetName val="收入规模－生产"/>
      <sheetName val="收入规模－财务"/>
      <sheetName val="主营业务收入成本总账"/>
      <sheetName val="主营业务收入明细帐"/>
      <sheetName val="主营业务成本明细帐"/>
      <sheetName val="销售毛利润汇总表（原始）"/>
      <sheetName val="销售毛利（分系列）"/>
      <sheetName val="销售毛利（分品种、分月）"/>
      <sheetName val="销售收入、成本、费用、税金分析表"/>
      <sheetName val="分产品销售收入、成本分析表 "/>
      <sheetName val="分月收入、成本审计表"/>
      <sheetName val="生产成本导出"/>
      <sheetName val="生产成本11－12"/>
      <sheetName val="生产成本汇总表"/>
      <sheetName val="说明"/>
      <sheetName val="制造费用多栏明细账"/>
      <sheetName val="产品销售成本检查表"/>
      <sheetName val="生产成本倒轧表"/>
      <sheetName val="销售单价公允性"/>
      <sheetName val="BS+PL20050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outlinePr summaryBelow="0" summaryRight="0"/>
  </sheetPr>
  <dimension ref="A1:BI77"/>
  <sheetViews>
    <sheetView tabSelected="1" view="pageBreakPreview" zoomScale="70" zoomScaleNormal="100" workbookViewId="0">
      <pane xSplit="2" ySplit="13" topLeftCell="AY46" activePane="bottomRight" state="frozen"/>
      <selection/>
      <selection pane="topRight"/>
      <selection pane="bottomLeft"/>
      <selection pane="bottomRight" activeCell="AN45" sqref="AN45"/>
    </sheetView>
  </sheetViews>
  <sheetFormatPr defaultColWidth="8.18333333333333" defaultRowHeight="25.05" customHeight="1"/>
  <cols>
    <col min="1" max="1" width="6.75" style="10" customWidth="1"/>
    <col min="2" max="2" width="18.725" style="10" customWidth="1"/>
    <col min="3" max="4" width="13" style="10" customWidth="1"/>
    <col min="5" max="5" width="8.725" style="11" customWidth="1"/>
    <col min="6" max="6" width="10.1833333333333" style="11" customWidth="1"/>
    <col min="7" max="7" width="12.95" style="12" customWidth="1" outlineLevel="1"/>
    <col min="8" max="8" width="36" style="13" customWidth="1" outlineLevel="1"/>
    <col min="9" max="9" width="11.5416666666667" style="13" customWidth="1" outlineLevel="1"/>
    <col min="10" max="10" width="9" style="13" customWidth="1" outlineLevel="1"/>
    <col min="11" max="11" width="10.8166666666667" style="13" customWidth="1" outlineLevel="1"/>
    <col min="12" max="12" width="10.5416666666667" style="13" customWidth="1" outlineLevel="1"/>
    <col min="13" max="16" width="9.45" style="11" customWidth="1" outlineLevel="3"/>
    <col min="17" max="17" width="9.09166666666667" style="14" customWidth="1" outlineLevel="1"/>
    <col min="18" max="19" width="10.9083333333333" style="14" customWidth="1" outlineLevel="1"/>
    <col min="20" max="20" width="11.25" style="12" customWidth="1"/>
    <col min="21" max="21" width="8.26666666666667" style="12" customWidth="1"/>
    <col min="22" max="22" width="27.45" style="13" customWidth="1" outlineLevel="1"/>
    <col min="23" max="23" width="12.1833333333333" style="11" customWidth="1" outlineLevel="1"/>
    <col min="24" max="24" width="10" style="12" customWidth="1" outlineLevel="1"/>
    <col min="25" max="25" width="11.3666666666667" style="12" customWidth="1" outlineLevel="1"/>
    <col min="26" max="26" width="39.175" style="13" customWidth="1" outlineLevel="1"/>
    <col min="27" max="27" width="11.5416666666667" style="11" customWidth="1" outlineLevel="1"/>
    <col min="28" max="29" width="12.5416666666667" style="12" customWidth="1" outlineLevel="1"/>
    <col min="30" max="30" width="35.8166666666667" style="13" customWidth="1" outlineLevel="1"/>
    <col min="31" max="31" width="12" style="15" customWidth="1" outlineLevel="1"/>
    <col min="32" max="32" width="8.63333333333333" style="11" customWidth="1" outlineLevel="1"/>
    <col min="33" max="33" width="23.375" style="11" customWidth="1" outlineLevel="1"/>
    <col min="34" max="34" width="10.8166666666667" style="11" customWidth="1"/>
    <col min="35" max="35" width="8.54166666666667" style="12" customWidth="1"/>
    <col min="36" max="36" width="8.54166666666667" style="13" customWidth="1" outlineLevel="1"/>
    <col min="37" max="37" width="7.725" style="13" customWidth="1" outlineLevel="1"/>
    <col min="38" max="38" width="7" style="13" customWidth="1" outlineLevel="1"/>
    <col min="39" max="39" width="8.09166666666667" style="13" customWidth="1" outlineLevel="1"/>
    <col min="40" max="40" width="9.125" style="13" customWidth="1" outlineLevel="1"/>
    <col min="41" max="42" width="8.26666666666667" style="13" customWidth="1" outlineLevel="1"/>
    <col min="43" max="43" width="7.18333333333333" style="13" customWidth="1" outlineLevel="1"/>
    <col min="44" max="44" width="8.26666666666667" style="13" customWidth="1" outlineLevel="1"/>
    <col min="45" max="45" width="7.18333333333333" style="13" customWidth="1" outlineLevel="1"/>
    <col min="46" max="46" width="8.125" style="13" customWidth="1" outlineLevel="1"/>
    <col min="47" max="47" width="13.3666666666667" style="11" customWidth="1" outlineLevel="2"/>
    <col min="48" max="48" width="14.0916666666667" style="12" customWidth="1" outlineLevel="2"/>
    <col min="49" max="49" width="11.6333333333333" style="13" customWidth="1" outlineLevel="2"/>
    <col min="50" max="50" width="10.45" style="16" customWidth="1"/>
    <col min="51" max="51" width="23.875" style="13" customWidth="1"/>
    <col min="52" max="52" width="75.175" style="13" customWidth="1"/>
    <col min="53" max="53" width="38.0916666666667" style="13" customWidth="1"/>
    <col min="54" max="54" width="46" style="17" customWidth="1"/>
    <col min="55" max="55" width="38.375" style="15" customWidth="1"/>
    <col min="56" max="56" width="8.18333333333333" style="15" customWidth="1"/>
    <col min="57" max="57" width="8.18333333333333" style="15"/>
    <col min="58" max="58" width="21.125" style="15" customWidth="1"/>
    <col min="59" max="59" width="9.75" style="15"/>
    <col min="60" max="60" width="16.125" style="15" customWidth="1"/>
    <col min="61" max="61" width="14.125" style="15"/>
    <col min="62" max="16384" width="8.18333333333333" style="15"/>
  </cols>
  <sheetData>
    <row r="1" s="1" customFormat="1" ht="39" customHeight="1" spans="1:59">
      <c r="A1" s="18" t="s">
        <v>0</v>
      </c>
    </row>
    <row r="2" s="2" customFormat="1" ht="21.75" hidden="1" customHeight="1" spans="1:59">
      <c r="A2" s="19" t="s">
        <v>1</v>
      </c>
      <c r="B2" s="19"/>
      <c r="C2" s="20"/>
      <c r="D2" s="20"/>
      <c r="E2" s="21"/>
      <c r="F2" s="22"/>
      <c r="G2" s="23"/>
      <c r="H2" s="24"/>
      <c r="I2" s="24"/>
      <c r="J2" s="24"/>
      <c r="K2" s="24"/>
      <c r="L2" s="24"/>
      <c r="M2" s="25"/>
      <c r="N2" s="25"/>
      <c r="O2" s="25"/>
      <c r="P2" s="25"/>
      <c r="Q2" s="25"/>
      <c r="R2" s="25"/>
      <c r="S2" s="25"/>
      <c r="T2" s="23"/>
      <c r="U2" s="23"/>
      <c r="V2" s="24"/>
      <c r="W2" s="26"/>
      <c r="X2" s="23"/>
      <c r="Y2" s="23"/>
      <c r="Z2" s="24"/>
      <c r="AA2" s="26"/>
      <c r="AB2" s="23"/>
      <c r="AC2" s="23"/>
      <c r="AD2" s="24"/>
      <c r="AE2" s="26"/>
      <c r="AF2" s="26"/>
      <c r="AG2" s="26"/>
      <c r="AH2" s="16"/>
      <c r="AI2" s="12"/>
      <c r="AJ2" s="27"/>
      <c r="AK2" s="27"/>
      <c r="AL2" s="27"/>
      <c r="AM2" s="27"/>
      <c r="AN2" s="27"/>
      <c r="AO2" s="27"/>
      <c r="AP2" s="27"/>
      <c r="AQ2" s="27"/>
      <c r="AR2" s="27"/>
      <c r="AS2" s="27"/>
      <c r="AT2" s="27"/>
      <c r="AU2" s="16"/>
      <c r="AV2" s="12"/>
      <c r="AW2" s="13"/>
      <c r="AX2" s="16"/>
      <c r="AY2" s="13"/>
      <c r="AZ2" s="13"/>
      <c r="BA2" s="13"/>
      <c r="BB2" s="28"/>
    </row>
    <row r="3" s="2" customFormat="1" ht="21.75" hidden="1" customHeight="1" spans="1:59">
      <c r="A3" s="29"/>
      <c r="B3" s="19"/>
      <c r="C3" s="20"/>
      <c r="D3" s="20"/>
      <c r="E3" s="21"/>
      <c r="F3" s="22"/>
      <c r="G3" s="23"/>
      <c r="H3" s="24"/>
      <c r="I3" s="24"/>
      <c r="J3" s="24"/>
      <c r="K3" s="24"/>
      <c r="L3" s="24"/>
      <c r="M3" s="25"/>
      <c r="N3" s="25"/>
      <c r="O3" s="25"/>
      <c r="P3" s="25"/>
      <c r="Q3" s="25"/>
      <c r="R3" s="25"/>
      <c r="S3" s="25"/>
      <c r="T3" s="23"/>
      <c r="U3" s="23"/>
      <c r="V3" s="24"/>
      <c r="W3" s="26"/>
      <c r="X3" s="23"/>
      <c r="Y3" s="23"/>
      <c r="Z3" s="24"/>
      <c r="AA3" s="26"/>
      <c r="AB3" s="23"/>
      <c r="AC3" s="23"/>
      <c r="AD3" s="24"/>
      <c r="AE3" s="26"/>
      <c r="AF3" s="26"/>
      <c r="AG3" s="26"/>
      <c r="AH3" s="16"/>
      <c r="AI3" s="12"/>
      <c r="AJ3" s="27"/>
      <c r="AK3" s="27"/>
      <c r="AL3" s="27"/>
      <c r="AM3" s="27"/>
      <c r="AN3" s="27"/>
      <c r="AO3" s="27"/>
      <c r="AP3" s="27"/>
      <c r="AQ3" s="27"/>
      <c r="AR3" s="27"/>
      <c r="AS3" s="27"/>
      <c r="AT3" s="27"/>
      <c r="AU3" s="16"/>
      <c r="AV3" s="12"/>
      <c r="AW3" s="13"/>
      <c r="AX3" s="16"/>
      <c r="AY3" s="13"/>
      <c r="AZ3" s="13"/>
      <c r="BA3" s="13"/>
      <c r="BB3" s="28"/>
    </row>
    <row r="4" s="2" customFormat="1" ht="21.75" hidden="1" customHeight="1" spans="1:59">
      <c r="A4" s="19" t="s">
        <v>2</v>
      </c>
      <c r="B4" s="19"/>
      <c r="C4" s="20"/>
      <c r="D4" s="20"/>
      <c r="E4" s="21"/>
      <c r="F4" s="22"/>
      <c r="G4" s="23"/>
      <c r="H4" s="24"/>
      <c r="I4" s="24"/>
      <c r="J4" s="24"/>
      <c r="K4" s="24"/>
      <c r="L4" s="24"/>
      <c r="M4" s="25"/>
      <c r="N4" s="25"/>
      <c r="O4" s="25"/>
      <c r="P4" s="25"/>
      <c r="Q4" s="25"/>
      <c r="R4" s="25"/>
      <c r="S4" s="25"/>
      <c r="T4" s="23"/>
      <c r="U4" s="23"/>
      <c r="V4" s="24"/>
      <c r="W4" s="26"/>
      <c r="X4" s="23"/>
      <c r="Y4" s="23"/>
      <c r="Z4" s="24"/>
      <c r="AA4" s="26"/>
      <c r="AB4" s="23"/>
      <c r="AC4" s="23"/>
      <c r="AD4" s="24"/>
      <c r="AE4" s="26"/>
      <c r="AF4" s="26"/>
      <c r="AG4" s="26"/>
      <c r="AH4" s="16"/>
      <c r="AI4" s="12"/>
      <c r="AJ4" s="27"/>
      <c r="AK4" s="27"/>
      <c r="AL4" s="27"/>
      <c r="AM4" s="27"/>
      <c r="AN4" s="27"/>
      <c r="AO4" s="27"/>
      <c r="AP4" s="27"/>
      <c r="AQ4" s="27"/>
      <c r="AR4" s="27"/>
      <c r="AS4" s="27"/>
      <c r="AT4" s="27"/>
      <c r="AU4" s="16"/>
      <c r="AV4" s="12"/>
      <c r="AW4" s="13"/>
      <c r="AX4" s="16"/>
      <c r="AY4" s="13"/>
      <c r="AZ4" s="13"/>
      <c r="BA4" s="13"/>
      <c r="BB4" s="28"/>
    </row>
    <row r="5" s="2" customFormat="1" ht="21.75" hidden="1" customHeight="1" spans="1:59">
      <c r="A5" s="30"/>
      <c r="B5" s="19"/>
      <c r="C5" s="20"/>
      <c r="D5" s="20"/>
      <c r="E5" s="21"/>
      <c r="F5" s="22"/>
      <c r="G5" s="23"/>
      <c r="H5" s="24"/>
      <c r="I5" s="24"/>
      <c r="J5" s="24"/>
      <c r="K5" s="24"/>
      <c r="L5" s="24"/>
      <c r="M5" s="25"/>
      <c r="N5" s="25"/>
      <c r="O5" s="25"/>
      <c r="P5" s="25"/>
      <c r="Q5" s="25"/>
      <c r="R5" s="25"/>
      <c r="S5" s="25"/>
      <c r="T5" s="23"/>
      <c r="U5" s="23"/>
      <c r="V5" s="24"/>
      <c r="W5" s="26"/>
      <c r="X5" s="23"/>
      <c r="Y5" s="23"/>
      <c r="Z5" s="24"/>
      <c r="AA5" s="26"/>
      <c r="AB5" s="23"/>
      <c r="AC5" s="23"/>
      <c r="AD5" s="24"/>
      <c r="AE5" s="26"/>
      <c r="AF5" s="26"/>
      <c r="AG5" s="26"/>
      <c r="AH5" s="16"/>
      <c r="AI5" s="12"/>
      <c r="AJ5" s="27"/>
      <c r="AK5" s="27"/>
      <c r="AL5" s="27"/>
      <c r="AM5" s="27"/>
      <c r="AN5" s="27"/>
      <c r="AO5" s="27"/>
      <c r="AP5" s="27"/>
      <c r="AQ5" s="27"/>
      <c r="AR5" s="27"/>
      <c r="AS5" s="27"/>
      <c r="AT5" s="27"/>
      <c r="AU5" s="16"/>
      <c r="AV5" s="12"/>
      <c r="AW5" s="13"/>
      <c r="AX5" s="16"/>
      <c r="AY5" s="13"/>
      <c r="AZ5" s="13"/>
      <c r="BA5" s="13"/>
      <c r="BB5" s="28"/>
    </row>
    <row r="6" s="2" customFormat="1" ht="21.75" hidden="1" customHeight="1" spans="1:59">
      <c r="A6" s="30"/>
      <c r="B6" s="19"/>
      <c r="C6" s="20"/>
      <c r="D6" s="20"/>
      <c r="E6" s="21"/>
      <c r="F6" s="22"/>
      <c r="G6" s="23"/>
      <c r="H6" s="24"/>
      <c r="I6" s="24"/>
      <c r="J6" s="24"/>
      <c r="K6" s="24"/>
      <c r="L6" s="24"/>
      <c r="M6" s="25"/>
      <c r="N6" s="25"/>
      <c r="O6" s="25"/>
      <c r="P6" s="25"/>
      <c r="Q6" s="25"/>
      <c r="R6" s="25"/>
      <c r="S6" s="25"/>
      <c r="T6" s="23"/>
      <c r="U6" s="23"/>
      <c r="V6" s="24"/>
      <c r="W6" s="26"/>
      <c r="X6" s="23"/>
      <c r="Y6" s="23"/>
      <c r="Z6" s="24"/>
      <c r="AA6" s="26"/>
      <c r="AB6" s="23"/>
      <c r="AC6" s="23"/>
      <c r="AD6" s="24"/>
      <c r="AE6" s="26"/>
      <c r="AF6" s="26"/>
      <c r="AG6" s="26"/>
      <c r="AH6" s="16"/>
      <c r="AI6" s="12"/>
      <c r="AJ6" s="27"/>
      <c r="AK6" s="27"/>
      <c r="AL6" s="27"/>
      <c r="AM6" s="27"/>
      <c r="AN6" s="27"/>
      <c r="AO6" s="27"/>
      <c r="AP6" s="27"/>
      <c r="AQ6" s="27"/>
      <c r="AR6" s="27"/>
      <c r="AS6" s="27"/>
      <c r="AT6" s="27"/>
      <c r="AU6" s="16"/>
      <c r="AV6" s="12"/>
      <c r="AW6" s="13"/>
      <c r="AX6" s="16"/>
      <c r="AY6" s="13"/>
      <c r="AZ6" s="13"/>
      <c r="BA6" s="13"/>
      <c r="BB6" s="28"/>
    </row>
    <row r="7" s="2" customFormat="1" ht="21.75" hidden="1" customHeight="1" spans="1:59">
      <c r="A7" s="30"/>
      <c r="B7" s="19"/>
      <c r="C7" s="20"/>
      <c r="D7" s="20"/>
      <c r="E7" s="21"/>
      <c r="F7" s="22"/>
      <c r="G7" s="23"/>
      <c r="H7" s="24"/>
      <c r="I7" s="24"/>
      <c r="J7" s="24"/>
      <c r="K7" s="24"/>
      <c r="L7" s="24"/>
      <c r="M7" s="25"/>
      <c r="N7" s="25"/>
      <c r="O7" s="25"/>
      <c r="P7" s="25"/>
      <c r="Q7" s="25"/>
      <c r="R7" s="25"/>
      <c r="S7" s="25"/>
      <c r="T7" s="23"/>
      <c r="U7" s="23"/>
      <c r="V7" s="24"/>
      <c r="W7" s="26"/>
      <c r="X7" s="23"/>
      <c r="Y7" s="23"/>
      <c r="Z7" s="24"/>
      <c r="AA7" s="26"/>
      <c r="AB7" s="23"/>
      <c r="AC7" s="23"/>
      <c r="AD7" s="24"/>
      <c r="AE7" s="26"/>
      <c r="AF7" s="26"/>
      <c r="AG7" s="26"/>
      <c r="AH7" s="16"/>
      <c r="AI7" s="12"/>
      <c r="AJ7" s="27"/>
      <c r="AK7" s="27"/>
      <c r="AL7" s="27"/>
      <c r="AM7" s="27"/>
      <c r="AN7" s="27"/>
      <c r="AO7" s="27"/>
      <c r="AP7" s="27"/>
      <c r="AQ7" s="27"/>
      <c r="AR7" s="27"/>
      <c r="AS7" s="27"/>
      <c r="AT7" s="27"/>
      <c r="AU7" s="16"/>
      <c r="AV7" s="12"/>
      <c r="AW7" s="13"/>
      <c r="AX7" s="16"/>
      <c r="AY7" s="13"/>
      <c r="AZ7" s="13"/>
      <c r="BA7" s="13"/>
      <c r="BB7" s="28"/>
    </row>
    <row r="8" s="2" customFormat="1" ht="21.75" hidden="1" customHeight="1" spans="1:59">
      <c r="A8" s="30"/>
      <c r="B8" s="19"/>
      <c r="C8" s="20"/>
      <c r="D8" s="20"/>
      <c r="E8" s="21"/>
      <c r="F8" s="22"/>
      <c r="G8" s="23"/>
      <c r="H8" s="24"/>
      <c r="I8" s="24"/>
      <c r="J8" s="24"/>
      <c r="K8" s="24"/>
      <c r="L8" s="24"/>
      <c r="M8" s="25"/>
      <c r="N8" s="25"/>
      <c r="O8" s="25"/>
      <c r="P8" s="25"/>
      <c r="Q8" s="25"/>
      <c r="R8" s="25"/>
      <c r="S8" s="25"/>
      <c r="T8" s="23"/>
      <c r="U8" s="23"/>
      <c r="V8" s="24"/>
      <c r="W8" s="26"/>
      <c r="X8" s="23"/>
      <c r="Y8" s="23"/>
      <c r="Z8" s="24"/>
      <c r="AA8" s="26"/>
      <c r="AB8" s="23"/>
      <c r="AC8" s="23"/>
      <c r="AD8" s="24"/>
      <c r="AE8" s="26"/>
      <c r="AF8" s="26"/>
      <c r="AG8" s="26"/>
      <c r="AH8" s="16"/>
      <c r="AI8" s="12"/>
      <c r="AJ8" s="27"/>
      <c r="AK8" s="27"/>
      <c r="AL8" s="27"/>
      <c r="AM8" s="27"/>
      <c r="AN8" s="27"/>
      <c r="AO8" s="27"/>
      <c r="AP8" s="27"/>
      <c r="AQ8" s="27"/>
      <c r="AR8" s="27"/>
      <c r="AS8" s="27"/>
      <c r="AT8" s="27"/>
      <c r="AU8" s="16"/>
      <c r="AV8" s="12"/>
      <c r="AW8" s="13"/>
      <c r="AX8" s="16"/>
      <c r="AY8" s="13"/>
      <c r="AZ8" s="13"/>
      <c r="BA8" s="13"/>
      <c r="BB8" s="28"/>
    </row>
    <row r="9" s="2" customFormat="1" ht="21.75" hidden="1" customHeight="1" spans="1:59">
      <c r="A9" s="30"/>
      <c r="B9" s="19"/>
      <c r="C9" s="20"/>
      <c r="D9" s="20"/>
      <c r="E9" s="21"/>
      <c r="F9" s="22"/>
      <c r="G9" s="23"/>
      <c r="H9" s="24"/>
      <c r="I9" s="24"/>
      <c r="J9" s="24"/>
      <c r="K9" s="24"/>
      <c r="L9" s="24"/>
      <c r="M9" s="25"/>
      <c r="N9" s="25"/>
      <c r="O9" s="25"/>
      <c r="P9" s="25"/>
      <c r="Q9" s="25"/>
      <c r="R9" s="25"/>
      <c r="S9" s="25"/>
      <c r="T9" s="23"/>
      <c r="U9" s="23"/>
      <c r="V9" s="24"/>
      <c r="W9" s="26"/>
      <c r="X9" s="23"/>
      <c r="Y9" s="23"/>
      <c r="Z9" s="24"/>
      <c r="AA9" s="26"/>
      <c r="AB9" s="23"/>
      <c r="AC9" s="23"/>
      <c r="AD9" s="24"/>
      <c r="AE9" s="26"/>
      <c r="AF9" s="26"/>
      <c r="AG9" s="26"/>
      <c r="AH9" s="16"/>
      <c r="AI9" s="12"/>
      <c r="AJ9" s="27"/>
      <c r="AK9" s="27"/>
      <c r="AL9" s="27"/>
      <c r="AM9" s="27"/>
      <c r="AN9" s="27"/>
      <c r="AO9" s="27"/>
      <c r="AP9" s="27"/>
      <c r="AQ9" s="27"/>
      <c r="AR9" s="27"/>
      <c r="AS9" s="27"/>
      <c r="AT9" s="27"/>
      <c r="AU9" s="16"/>
      <c r="AV9" s="12"/>
      <c r="AW9" s="13"/>
      <c r="AX9" s="16"/>
      <c r="AY9" s="13"/>
      <c r="AZ9" s="13"/>
      <c r="BA9" s="13"/>
      <c r="BB9" s="28"/>
    </row>
    <row r="10" s="2" customFormat="1" ht="21.75" hidden="1" customHeight="1" spans="1:59">
      <c r="A10" s="30"/>
      <c r="B10" s="19"/>
      <c r="C10" s="20"/>
      <c r="D10" s="20"/>
      <c r="E10" s="21"/>
      <c r="F10" s="22"/>
      <c r="G10" s="23"/>
      <c r="H10" s="24"/>
      <c r="I10" s="24"/>
      <c r="J10" s="24"/>
      <c r="K10" s="24"/>
      <c r="L10" s="24"/>
      <c r="M10" s="25"/>
      <c r="N10" s="25"/>
      <c r="O10" s="25"/>
      <c r="P10" s="25"/>
      <c r="Q10" s="25"/>
      <c r="R10" s="25"/>
      <c r="S10" s="25"/>
      <c r="T10" s="23"/>
      <c r="U10" s="23"/>
      <c r="V10" s="24"/>
      <c r="W10" s="26"/>
      <c r="X10" s="23"/>
      <c r="Y10" s="23"/>
      <c r="Z10" s="24"/>
      <c r="AA10" s="26"/>
      <c r="AB10" s="23"/>
      <c r="AC10" s="23"/>
      <c r="AD10" s="24"/>
      <c r="AE10" s="26"/>
      <c r="AF10" s="26"/>
      <c r="AG10" s="26"/>
      <c r="AH10" s="16"/>
      <c r="AI10" s="12"/>
      <c r="AJ10" s="27"/>
      <c r="AK10" s="27"/>
      <c r="AL10" s="27"/>
      <c r="AM10" s="27"/>
      <c r="AN10" s="27"/>
      <c r="AO10" s="27"/>
      <c r="AP10" s="27"/>
      <c r="AQ10" s="27"/>
      <c r="AR10" s="27"/>
      <c r="AS10" s="27"/>
      <c r="AT10" s="27"/>
      <c r="AU10" s="16"/>
      <c r="AV10" s="12"/>
      <c r="AW10" s="13"/>
      <c r="AX10" s="16"/>
      <c r="AY10" s="13"/>
      <c r="AZ10" s="13"/>
      <c r="BA10" s="13"/>
      <c r="BB10" s="28"/>
    </row>
    <row r="11" s="2" customFormat="1" ht="23.4" customHeight="1" spans="1:59">
      <c r="A11" s="30"/>
      <c r="B11" s="19"/>
      <c r="C11" s="20"/>
      <c r="D11" s="20"/>
      <c r="E11" s="21"/>
      <c r="F11" s="22"/>
      <c r="G11" s="23"/>
      <c r="H11" s="24"/>
      <c r="I11" s="24"/>
      <c r="J11" s="24"/>
      <c r="K11" s="24"/>
      <c r="L11" s="24"/>
      <c r="M11" s="25"/>
      <c r="N11" s="25"/>
      <c r="O11" s="25"/>
      <c r="P11" s="25"/>
      <c r="Q11" s="25"/>
      <c r="R11" s="25"/>
      <c r="S11" s="25"/>
      <c r="T11" s="23"/>
      <c r="U11" s="23"/>
      <c r="V11" s="24"/>
      <c r="W11" s="26"/>
      <c r="X11" s="23"/>
      <c r="Y11" s="23"/>
      <c r="Z11" s="24"/>
      <c r="AA11" s="26"/>
      <c r="AB11" s="23"/>
      <c r="AC11" s="23"/>
      <c r="AD11" s="24"/>
      <c r="AE11" s="26"/>
      <c r="AF11" s="26"/>
      <c r="AG11" s="26"/>
      <c r="AH11" s="16"/>
      <c r="AI11" s="12"/>
      <c r="AJ11" s="27"/>
      <c r="AK11" s="27"/>
      <c r="AL11" s="27"/>
      <c r="AM11" s="27"/>
      <c r="AN11" s="27"/>
      <c r="AO11" s="27"/>
      <c r="AP11" s="27"/>
      <c r="AQ11" s="27"/>
      <c r="AR11" s="27"/>
      <c r="AS11" s="27"/>
      <c r="AT11" s="27"/>
      <c r="AU11" s="16"/>
      <c r="AV11" s="12"/>
      <c r="AW11" s="13"/>
      <c r="AX11" s="16"/>
      <c r="AY11" s="13"/>
      <c r="AZ11" s="13"/>
      <c r="BA11" s="13"/>
      <c r="BB11" s="28"/>
    </row>
    <row r="12" s="3" customFormat="1" ht="40.95" customHeight="1" spans="1:59">
      <c r="A12" s="31" t="s">
        <v>3</v>
      </c>
      <c r="B12" s="32" t="s">
        <v>4</v>
      </c>
      <c r="C12" s="33" t="s">
        <v>5</v>
      </c>
      <c r="D12" s="33" t="s">
        <v>6</v>
      </c>
      <c r="E12" s="34" t="s">
        <v>7</v>
      </c>
      <c r="F12" s="34" t="s">
        <v>8</v>
      </c>
      <c r="G12" s="35" t="s">
        <v>9</v>
      </c>
      <c r="H12" s="36" t="s">
        <v>10</v>
      </c>
      <c r="I12" s="37" t="s">
        <v>11</v>
      </c>
      <c r="J12" s="212"/>
      <c r="K12" s="212"/>
      <c r="L12" s="212"/>
      <c r="M12" s="37" t="s">
        <v>12</v>
      </c>
      <c r="N12" s="212"/>
      <c r="O12" s="212"/>
      <c r="P12" s="212"/>
      <c r="Q12" s="213" t="s">
        <v>13</v>
      </c>
      <c r="R12" s="214"/>
      <c r="S12" s="215"/>
      <c r="T12" s="35" t="s">
        <v>14</v>
      </c>
      <c r="U12" s="212"/>
      <c r="V12" s="212"/>
      <c r="W12" s="42" t="s">
        <v>15</v>
      </c>
      <c r="X12" s="212"/>
      <c r="Y12" s="212"/>
      <c r="Z12" s="212"/>
      <c r="AA12" s="212"/>
      <c r="AB12" s="212"/>
      <c r="AC12" s="212"/>
      <c r="AD12" s="212"/>
      <c r="AE12" s="212"/>
      <c r="AF12" s="212"/>
      <c r="AG12" s="42"/>
      <c r="AH12" s="43" t="s">
        <v>16</v>
      </c>
      <c r="AI12" s="216"/>
      <c r="AJ12" s="33" t="s">
        <v>17</v>
      </c>
      <c r="AK12" s="212"/>
      <c r="AL12" s="212"/>
      <c r="AM12" s="212"/>
      <c r="AN12" s="212"/>
      <c r="AO12" s="212"/>
      <c r="AP12" s="212"/>
      <c r="AQ12" s="212"/>
      <c r="AR12" s="212"/>
      <c r="AS12" s="212"/>
      <c r="AT12" s="212"/>
      <c r="AU12" s="42" t="s">
        <v>18</v>
      </c>
      <c r="AV12" s="42"/>
      <c r="AW12" s="42"/>
      <c r="AX12" s="42"/>
      <c r="AY12" s="42"/>
      <c r="AZ12" s="36" t="s">
        <v>19</v>
      </c>
      <c r="BA12" s="36" t="s">
        <v>20</v>
      </c>
      <c r="BB12" s="48" t="s">
        <v>21</v>
      </c>
      <c r="BC12" s="3" t="s">
        <v>22</v>
      </c>
      <c r="BD12" s="3" t="s">
        <v>23</v>
      </c>
    </row>
    <row r="13" s="3" customFormat="1" ht="68.25" customHeight="1" spans="1:59">
      <c r="A13" s="212"/>
      <c r="B13" s="212"/>
      <c r="C13" s="212"/>
      <c r="D13" s="212"/>
      <c r="E13" s="212"/>
      <c r="F13" s="212"/>
      <c r="G13" s="212"/>
      <c r="H13" s="212"/>
      <c r="I13" s="40" t="s">
        <v>24</v>
      </c>
      <c r="J13" s="40" t="s">
        <v>25</v>
      </c>
      <c r="K13" s="40" t="s">
        <v>26</v>
      </c>
      <c r="L13" s="40" t="s">
        <v>27</v>
      </c>
      <c r="M13" s="40" t="s">
        <v>28</v>
      </c>
      <c r="N13" s="40" t="s">
        <v>29</v>
      </c>
      <c r="O13" s="40" t="s">
        <v>30</v>
      </c>
      <c r="P13" s="40" t="s">
        <v>31</v>
      </c>
      <c r="Q13" s="40" t="s">
        <v>32</v>
      </c>
      <c r="R13" s="40" t="s">
        <v>33</v>
      </c>
      <c r="S13" s="217" t="s">
        <v>34</v>
      </c>
      <c r="T13" s="35" t="s">
        <v>35</v>
      </c>
      <c r="U13" s="33" t="s">
        <v>36</v>
      </c>
      <c r="V13" s="36" t="s">
        <v>37</v>
      </c>
      <c r="W13" s="40" t="s">
        <v>38</v>
      </c>
      <c r="X13" s="33" t="s">
        <v>39</v>
      </c>
      <c r="Y13" s="33" t="s">
        <v>40</v>
      </c>
      <c r="Z13" s="36" t="s">
        <v>41</v>
      </c>
      <c r="AA13" s="40" t="s">
        <v>42</v>
      </c>
      <c r="AB13" s="33" t="s">
        <v>43</v>
      </c>
      <c r="AC13" s="50" t="s">
        <v>44</v>
      </c>
      <c r="AD13" s="36" t="s">
        <v>45</v>
      </c>
      <c r="AE13" s="40" t="s">
        <v>46</v>
      </c>
      <c r="AF13" s="33" t="s">
        <v>47</v>
      </c>
      <c r="AG13" s="33" t="s">
        <v>48</v>
      </c>
      <c r="AH13" s="40" t="s">
        <v>49</v>
      </c>
      <c r="AI13" s="40" t="s">
        <v>50</v>
      </c>
      <c r="AJ13" s="40" t="s">
        <v>51</v>
      </c>
      <c r="AK13" s="40" t="s">
        <v>52</v>
      </c>
      <c r="AL13" s="40" t="s">
        <v>53</v>
      </c>
      <c r="AM13" s="40" t="s">
        <v>54</v>
      </c>
      <c r="AN13" s="40" t="s">
        <v>55</v>
      </c>
      <c r="AO13" s="40" t="s">
        <v>56</v>
      </c>
      <c r="AP13" s="218" t="s">
        <v>57</v>
      </c>
      <c r="AQ13" s="218" t="s">
        <v>58</v>
      </c>
      <c r="AR13" s="218" t="s">
        <v>59</v>
      </c>
      <c r="AS13" s="218" t="s">
        <v>60</v>
      </c>
      <c r="AT13" s="40" t="s">
        <v>61</v>
      </c>
      <c r="AU13" s="40" t="s">
        <v>62</v>
      </c>
      <c r="AV13" s="40" t="s">
        <v>63</v>
      </c>
      <c r="AW13" s="40" t="s">
        <v>64</v>
      </c>
      <c r="AX13" s="40" t="s">
        <v>65</v>
      </c>
      <c r="AY13" s="33" t="s">
        <v>66</v>
      </c>
      <c r="AZ13" s="219"/>
      <c r="BA13" s="212"/>
      <c r="BD13" s="3" t="s">
        <v>23</v>
      </c>
      <c r="BF13" s="3" t="s">
        <v>67</v>
      </c>
      <c r="BG13" s="3" t="s">
        <v>68</v>
      </c>
    </row>
    <row r="14" s="4" customFormat="1" ht="90.75" customHeight="1" spans="1:59">
      <c r="A14" s="53"/>
      <c r="B14" s="54" t="s">
        <v>69</v>
      </c>
      <c r="C14" s="55"/>
      <c r="D14" s="55"/>
      <c r="E14" s="55"/>
      <c r="F14" s="55">
        <f>F16-Q14</f>
        <v>132941.338038989</v>
      </c>
      <c r="G14" s="56"/>
      <c r="H14" s="57"/>
      <c r="I14" s="57"/>
      <c r="J14" s="57"/>
      <c r="K14" s="57"/>
      <c r="L14" s="57"/>
      <c r="M14" s="55">
        <f t="shared" ref="M14:S14" si="0">M15+M16</f>
        <v>40493.5042866337</v>
      </c>
      <c r="N14" s="55">
        <f t="shared" si="0"/>
        <v>37627.5228209078</v>
      </c>
      <c r="O14" s="55">
        <f t="shared" si="0"/>
        <v>42043.98927591</v>
      </c>
      <c r="P14" s="55">
        <f t="shared" si="0"/>
        <v>53277.4333672518</v>
      </c>
      <c r="Q14" s="55">
        <f t="shared" si="0"/>
        <v>40499.2587765703</v>
      </c>
      <c r="R14" s="55">
        <f t="shared" si="0"/>
        <v>132917.658038988</v>
      </c>
      <c r="S14" s="55">
        <f t="shared" si="0"/>
        <v>11577</v>
      </c>
      <c r="T14" s="58"/>
      <c r="U14" s="58"/>
      <c r="V14" s="58"/>
      <c r="W14" s="55">
        <f>W15+W16</f>
        <v>23117.5395310089</v>
      </c>
      <c r="X14" s="56"/>
      <c r="Y14" s="55"/>
      <c r="Z14" s="55"/>
      <c r="AA14" s="55">
        <f>AA15+AA16</f>
        <v>41175.3339414585</v>
      </c>
      <c r="AB14" s="56"/>
      <c r="AC14" s="58"/>
      <c r="AD14" s="55"/>
      <c r="AE14" s="55">
        <f>AE15+AE16</f>
        <v>30065.1654758333</v>
      </c>
      <c r="AF14" s="56"/>
      <c r="AG14" s="56"/>
      <c r="AH14" s="55">
        <f>AH15+AH16</f>
        <v>-40293.0348192438</v>
      </c>
      <c r="AI14" s="55">
        <f>AI15+AI16</f>
        <v>-27015.4304590625</v>
      </c>
      <c r="AJ14" s="55"/>
      <c r="AK14" s="55"/>
      <c r="AL14" s="55"/>
      <c r="AM14" s="55"/>
      <c r="AN14" s="55"/>
      <c r="AO14" s="55"/>
      <c r="AP14" s="55"/>
      <c r="AQ14" s="55"/>
      <c r="AR14" s="55"/>
      <c r="AS14" s="55"/>
      <c r="AT14" s="55"/>
      <c r="AU14" s="55"/>
      <c r="AV14" s="55"/>
      <c r="AW14" s="55"/>
      <c r="AX14" s="55"/>
      <c r="AY14" s="59"/>
      <c r="AZ14" s="61"/>
      <c r="BA14" s="61"/>
      <c r="BD14" s="11" t="s">
        <v>70</v>
      </c>
    </row>
    <row r="15" s="4" customFormat="1" ht="35.7" customHeight="1" spans="1:59">
      <c r="A15" s="53"/>
      <c r="B15" s="54" t="s">
        <v>71</v>
      </c>
      <c r="C15" s="55"/>
      <c r="D15" s="55"/>
      <c r="E15" s="55"/>
      <c r="F15" s="55"/>
      <c r="G15" s="56"/>
      <c r="H15" s="57"/>
      <c r="I15" s="57"/>
      <c r="J15" s="57"/>
      <c r="K15" s="57"/>
      <c r="L15" s="57"/>
      <c r="M15" s="55"/>
      <c r="N15" s="55"/>
      <c r="O15" s="55"/>
      <c r="P15" s="55"/>
      <c r="Q15" s="55"/>
      <c r="R15" s="55"/>
      <c r="S15" s="55"/>
      <c r="T15" s="58"/>
      <c r="U15" s="58"/>
      <c r="V15" s="58"/>
      <c r="W15" s="55">
        <v>1906</v>
      </c>
      <c r="X15" s="56"/>
      <c r="Y15" s="55"/>
      <c r="Z15" s="55"/>
      <c r="AA15" s="55">
        <v>5259</v>
      </c>
      <c r="AB15" s="56"/>
      <c r="AC15" s="58"/>
      <c r="AD15" s="55"/>
      <c r="AE15" s="55"/>
      <c r="AF15" s="56"/>
      <c r="AG15" s="56"/>
      <c r="AH15" s="55">
        <f>-AA15</f>
        <v>-5259</v>
      </c>
      <c r="AI15" s="55"/>
      <c r="AJ15" s="55"/>
      <c r="AK15" s="55"/>
      <c r="AL15" s="55"/>
      <c r="AM15" s="55"/>
      <c r="AN15" s="55"/>
      <c r="AO15" s="55"/>
      <c r="AP15" s="55"/>
      <c r="AQ15" s="55"/>
      <c r="AR15" s="55"/>
      <c r="AS15" s="55"/>
      <c r="AT15" s="55"/>
      <c r="AU15" s="55"/>
      <c r="AV15" s="55"/>
      <c r="AW15" s="55"/>
      <c r="AX15" s="55"/>
      <c r="AY15" s="59"/>
      <c r="AZ15" s="61"/>
      <c r="BA15" s="61"/>
      <c r="BD15" s="11" t="s">
        <v>70</v>
      </c>
    </row>
    <row r="16" s="4" customFormat="1" ht="24" customHeight="1" spans="1:59">
      <c r="A16" s="53"/>
      <c r="B16" s="62" t="s">
        <v>72</v>
      </c>
      <c r="C16" s="55">
        <f>C17+C20</f>
        <v>108470.974460212</v>
      </c>
      <c r="D16" s="55">
        <f>D17+D20</f>
        <v>27708.2758006212</v>
      </c>
      <c r="E16" s="55">
        <f>E17+E20</f>
        <v>136180.240260833</v>
      </c>
      <c r="F16" s="55">
        <f>F17+F20</f>
        <v>173440.596815559</v>
      </c>
      <c r="G16" s="56">
        <f t="shared" ref="G16:G21" si="1">(F16-E16)/E16</f>
        <v>0.273610594924484</v>
      </c>
      <c r="H16" s="57"/>
      <c r="I16" s="55">
        <f t="shared" ref="I16:S16" si="2">I17+I20</f>
        <v>26855.073233319</v>
      </c>
      <c r="J16" s="55">
        <f t="shared" si="2"/>
        <v>32592.5632266324</v>
      </c>
      <c r="K16" s="55">
        <f t="shared" si="2"/>
        <v>36978.1599701631</v>
      </c>
      <c r="L16" s="55">
        <f t="shared" si="2"/>
        <v>35984.8947528931</v>
      </c>
      <c r="M16" s="55">
        <f t="shared" si="2"/>
        <v>40493.5042866337</v>
      </c>
      <c r="N16" s="55">
        <f t="shared" si="2"/>
        <v>37627.5228209078</v>
      </c>
      <c r="O16" s="55">
        <f t="shared" si="2"/>
        <v>42043.98927591</v>
      </c>
      <c r="P16" s="55">
        <f t="shared" si="2"/>
        <v>53277.4333672518</v>
      </c>
      <c r="Q16" s="55">
        <f t="shared" si="2"/>
        <v>40499.2587765703</v>
      </c>
      <c r="R16" s="55">
        <f t="shared" si="2"/>
        <v>132917.658038988</v>
      </c>
      <c r="S16" s="55">
        <f t="shared" si="2"/>
        <v>11577</v>
      </c>
      <c r="T16" s="58"/>
      <c r="U16" s="58"/>
      <c r="V16" s="58"/>
      <c r="W16" s="55">
        <f>W17+W20</f>
        <v>21211.5395310089</v>
      </c>
      <c r="X16" s="56">
        <f t="shared" ref="X16:X21" si="3">W16/F16</f>
        <v>0.122298584763092</v>
      </c>
      <c r="Y16" s="55"/>
      <c r="Z16" s="55"/>
      <c r="AA16" s="55">
        <f>AA17+AA20</f>
        <v>35916.3339414585</v>
      </c>
      <c r="AB16" s="56">
        <f t="shared" ref="AB16:AB21" si="4">AA16/F16</f>
        <v>0.207081471125545</v>
      </c>
      <c r="AC16" s="58"/>
      <c r="AD16" s="55"/>
      <c r="AE16" s="55">
        <f>AE17+AE20</f>
        <v>30065.1654758333</v>
      </c>
      <c r="AF16" s="56">
        <f>AD16/E16</f>
        <v>0</v>
      </c>
      <c r="AG16" s="56"/>
      <c r="AH16" s="55">
        <f>AH17+AH20</f>
        <v>-35034.0348192438</v>
      </c>
      <c r="AI16" s="55">
        <f>AI17+AI20</f>
        <v>-27015.4304590625</v>
      </c>
      <c r="AJ16" s="55">
        <f>AK16+AL16+AM16+AN16+AO16+AT16</f>
        <v>62228.6681308024</v>
      </c>
      <c r="AK16" s="55">
        <f>AK17+AK20</f>
        <v>12624.4841623333</v>
      </c>
      <c r="AL16" s="55">
        <f>AL17+AL20</f>
        <v>1350.1752</v>
      </c>
      <c r="AM16" s="55">
        <f>AM17+AM20</f>
        <v>2921.65316746903</v>
      </c>
      <c r="AN16" s="55">
        <f>AN17+AN20</f>
        <v>3481.769776</v>
      </c>
      <c r="AO16" s="55">
        <f>SUM(AP16:AS16)</f>
        <v>40559.599059</v>
      </c>
      <c r="AP16" s="55">
        <f t="shared" ref="AP16:AX16" si="5">AP17+AP20</f>
        <v>9590.187617</v>
      </c>
      <c r="AQ16" s="55">
        <f t="shared" si="5"/>
        <v>8946.839913</v>
      </c>
      <c r="AR16" s="55">
        <f t="shared" si="5"/>
        <v>8722.852883</v>
      </c>
      <c r="AS16" s="55">
        <f t="shared" si="5"/>
        <v>13299.718646</v>
      </c>
      <c r="AT16" s="55">
        <f t="shared" si="5"/>
        <v>1290.986766</v>
      </c>
      <c r="AU16" s="55">
        <f t="shared" si="5"/>
        <v>541.42428582716</v>
      </c>
      <c r="AV16" s="55">
        <f t="shared" si="5"/>
        <v>-37174.13</v>
      </c>
      <c r="AW16" s="55">
        <f t="shared" si="5"/>
        <v>-5086</v>
      </c>
      <c r="AX16" s="55">
        <f t="shared" si="5"/>
        <v>55826</v>
      </c>
      <c r="AY16" s="63" t="s">
        <v>73</v>
      </c>
      <c r="AZ16" s="63"/>
      <c r="BA16" s="61"/>
      <c r="BD16" s="11" t="s">
        <v>70</v>
      </c>
    </row>
    <row r="17" s="4" customFormat="1" ht="24" customHeight="1" spans="1:61">
      <c r="A17" s="53"/>
      <c r="B17" s="62" t="s">
        <v>74</v>
      </c>
      <c r="C17" s="55">
        <f>SUM(C21:C70)</f>
        <v>75374.974460212</v>
      </c>
      <c r="D17" s="55">
        <f t="shared" ref="D17:S17" si="6">SUM(D21:D70)</f>
        <v>20974.2758006212</v>
      </c>
      <c r="E17" s="55">
        <f t="shared" si="6"/>
        <v>96350.2402608333</v>
      </c>
      <c r="F17" s="55">
        <f t="shared" si="6"/>
        <v>118099.596815559</v>
      </c>
      <c r="G17" s="56">
        <f t="shared" si="1"/>
        <v>0.225732250338419</v>
      </c>
      <c r="H17" s="57"/>
      <c r="I17" s="55">
        <f t="shared" si="6"/>
        <v>17881.733233319</v>
      </c>
      <c r="J17" s="55">
        <f t="shared" si="6"/>
        <v>22784.9432266324</v>
      </c>
      <c r="K17" s="55">
        <f t="shared" si="6"/>
        <v>26409.3899701631</v>
      </c>
      <c r="L17" s="55">
        <f t="shared" si="6"/>
        <v>25504.9147528931</v>
      </c>
      <c r="M17" s="55">
        <f t="shared" si="6"/>
        <v>27098.1342866337</v>
      </c>
      <c r="N17" s="55">
        <f t="shared" si="6"/>
        <v>23882.1528209078</v>
      </c>
      <c r="O17" s="55">
        <f t="shared" si="6"/>
        <v>28208.61927591</v>
      </c>
      <c r="P17" s="55">
        <f t="shared" si="6"/>
        <v>38912.0633672518</v>
      </c>
      <c r="Q17" s="55">
        <f t="shared" si="6"/>
        <v>20505.2587765703</v>
      </c>
      <c r="R17" s="55">
        <f t="shared" si="6"/>
        <v>97570.6580389882</v>
      </c>
      <c r="S17" s="55">
        <f t="shared" si="6"/>
        <v>11577</v>
      </c>
      <c r="T17" s="58"/>
      <c r="U17" s="58"/>
      <c r="V17" s="58"/>
      <c r="W17" s="55">
        <f>SUM(W21:W70)</f>
        <v>17630.5395310089</v>
      </c>
      <c r="X17" s="56">
        <f t="shared" si="3"/>
        <v>0.149285349030812</v>
      </c>
      <c r="Y17" s="55"/>
      <c r="Z17" s="55"/>
      <c r="AA17" s="55">
        <f>SUM(AA21:AA70)</f>
        <v>27843.8239414585</v>
      </c>
      <c r="AB17" s="56">
        <f t="shared" si="4"/>
        <v>0.235765613873716</v>
      </c>
      <c r="AC17" s="58"/>
      <c r="AD17" s="55"/>
      <c r="AE17" s="55">
        <f t="shared" ref="AE17:AK17" si="7">SUM(AE21:AE70)</f>
        <v>18946.9254758333</v>
      </c>
      <c r="AF17" s="56">
        <f t="shared" ref="AF17:AF21" si="8">AD17/E17</f>
        <v>0</v>
      </c>
      <c r="AG17" s="56"/>
      <c r="AH17" s="55">
        <f t="shared" si="7"/>
        <v>-20079.7748192438</v>
      </c>
      <c r="AI17" s="55">
        <f t="shared" si="7"/>
        <v>-15475.8404590625</v>
      </c>
      <c r="AJ17" s="55">
        <f t="shared" si="7"/>
        <v>42346.5215941161</v>
      </c>
      <c r="AK17" s="55">
        <f t="shared" si="7"/>
        <v>9477.31416233333</v>
      </c>
      <c r="AL17" s="55">
        <f>(SUM(AL21:AL70)-AL21-AL23-AL22)+AL21*$B$71+AL23*$B$72+AL22*$B$73</f>
        <v>1089.5152</v>
      </c>
      <c r="AM17" s="55">
        <f>(SUM(AM21:AM70)-AM21-AM23-AM22)+AM21*$B$71+AM23*$B$72+AM22*$B$73</f>
        <v>1624.51316746903</v>
      </c>
      <c r="AN17" s="55">
        <f>(SUM(AN21:AN70)-AN21-AN23-AN22)+AN21*$B$71+AN23*$B$72+AN22*$B$73</f>
        <v>3026.009776</v>
      </c>
      <c r="AO17" s="55">
        <f>SUM(AP17:AS17)</f>
        <v>26302.599059</v>
      </c>
      <c r="AP17" s="55">
        <f>SUM(AP21:AP70)</f>
        <v>4111.187617</v>
      </c>
      <c r="AQ17" s="55">
        <f>SUM(AQ21:AQ70)</f>
        <v>7404.839913</v>
      </c>
      <c r="AR17" s="55">
        <f t="shared" ref="AR17:AX17" si="9">(SUM(AR21:AR70)-AR21-AR23-AR22)+AR21*$B$71+AR23*$B$72+AR22*$B$73</f>
        <v>4732.852883</v>
      </c>
      <c r="AS17" s="55">
        <f t="shared" si="9"/>
        <v>10053.718646</v>
      </c>
      <c r="AT17" s="55">
        <f t="shared" si="9"/>
        <v>1290.986766</v>
      </c>
      <c r="AU17" s="55">
        <f t="shared" si="9"/>
        <v>-1272.57571417284</v>
      </c>
      <c r="AV17" s="55">
        <f t="shared" si="9"/>
        <v>-36401.13</v>
      </c>
      <c r="AW17" s="55">
        <f t="shared" si="9"/>
        <v>-5086</v>
      </c>
      <c r="AX17" s="55">
        <f t="shared" si="9"/>
        <v>55826</v>
      </c>
      <c r="AY17" s="59" t="s">
        <v>73</v>
      </c>
      <c r="AZ17" s="63"/>
      <c r="BA17" s="61"/>
      <c r="BD17" s="11" t="s">
        <v>70</v>
      </c>
    </row>
    <row r="18" s="4" customFormat="1" ht="24" customHeight="1" spans="1:61">
      <c r="A18" s="53"/>
      <c r="B18" s="62" t="s">
        <v>75</v>
      </c>
      <c r="C18" s="55">
        <f>SUM(C21:C23)+C43+SUM(C59:C63)+SUM(C66:C70)</f>
        <v>52042.22</v>
      </c>
      <c r="D18" s="55">
        <f t="shared" ref="D18:S18" si="10">SUM(D21:D23)+D43+SUM(D59:D63)+SUM(D66:D70)</f>
        <v>14872.81</v>
      </c>
      <c r="E18" s="55">
        <f t="shared" si="10"/>
        <v>66915.02</v>
      </c>
      <c r="F18" s="55">
        <f t="shared" si="10"/>
        <v>67305.15</v>
      </c>
      <c r="G18" s="56">
        <f t="shared" si="1"/>
        <v>0.00583023064179021</v>
      </c>
      <c r="H18" s="57"/>
      <c r="I18" s="55">
        <f t="shared" si="10"/>
        <v>10816.03</v>
      </c>
      <c r="J18" s="55">
        <f t="shared" si="10"/>
        <v>15406.59</v>
      </c>
      <c r="K18" s="55">
        <f t="shared" si="10"/>
        <v>19764.9</v>
      </c>
      <c r="L18" s="55">
        <f t="shared" si="10"/>
        <v>17157.85</v>
      </c>
      <c r="M18" s="55">
        <f t="shared" si="10"/>
        <v>16546.08</v>
      </c>
      <c r="N18" s="55">
        <f t="shared" si="10"/>
        <v>12935.38</v>
      </c>
      <c r="O18" s="55">
        <f t="shared" si="10"/>
        <v>15224.29</v>
      </c>
      <c r="P18" s="55">
        <f t="shared" si="10"/>
        <v>22599.39</v>
      </c>
      <c r="Q18" s="55">
        <f t="shared" si="10"/>
        <v>8937.91</v>
      </c>
      <c r="R18" s="55">
        <f t="shared" si="10"/>
        <v>58367.23</v>
      </c>
      <c r="S18" s="55">
        <f t="shared" si="10"/>
        <v>8400</v>
      </c>
      <c r="T18" s="58"/>
      <c r="U18" s="58"/>
      <c r="V18" s="58"/>
      <c r="W18" s="55">
        <f>SUM(W21:W23)+W43+SUM(W59:W63)+SUM(W66:W70)</f>
        <v>7125.7177694</v>
      </c>
      <c r="X18" s="56">
        <f t="shared" si="3"/>
        <v>0.105871805789007</v>
      </c>
      <c r="Y18" s="55"/>
      <c r="Z18" s="55"/>
      <c r="AA18" s="55">
        <f>SUM(AA21:AA23)+AA43+SUM(AA59:AA63)+SUM(AA66:AA70)</f>
        <v>12812.780825</v>
      </c>
      <c r="AB18" s="56">
        <f t="shared" si="4"/>
        <v>0.190368505604697</v>
      </c>
      <c r="AC18" s="58"/>
      <c r="AD18" s="55"/>
      <c r="AE18" s="55">
        <f t="shared" ref="AE18:AK18" si="11">SUM(AE21:AE23)+AE43+SUM(AE59:AE63)+SUM(AE66:AE70)</f>
        <v>7699.78</v>
      </c>
      <c r="AF18" s="56">
        <f t="shared" si="8"/>
        <v>0</v>
      </c>
      <c r="AG18" s="56"/>
      <c r="AH18" s="55">
        <f t="shared" si="11"/>
        <v>-2916.09</v>
      </c>
      <c r="AI18" s="55">
        <f t="shared" si="11"/>
        <v>2065.4151757775</v>
      </c>
      <c r="AJ18" s="55">
        <f t="shared" si="11"/>
        <v>13693.5231244</v>
      </c>
      <c r="AK18" s="55">
        <f t="shared" si="11"/>
        <v>1790.609336</v>
      </c>
      <c r="AL18" s="55">
        <f>+AL21*$B$71+AL23*$B$72+AL22*$B$73+AL24*$B$72</f>
        <v>0</v>
      </c>
      <c r="AM18" s="55">
        <f>+AM21*$B$71+AM23*$B$72+AM22*$B$73+AM24*$B$72</f>
        <v>0</v>
      </c>
      <c r="AN18" s="55">
        <f>+AN21*$B$71+AN23*$B$72+AN22*$B$73+AN24*$B$72</f>
        <v>534</v>
      </c>
      <c r="AO18" s="55">
        <f>SUM(AP18:AS18)</f>
        <v>8755.95</v>
      </c>
      <c r="AP18" s="55">
        <f>SUM(AP21:AP23)+AP43+SUM(AP59:AP63)+SUM(AP66:AP70)</f>
        <v>750</v>
      </c>
      <c r="AQ18" s="55">
        <f>SUM(AQ21:AQ23)+AQ43+SUM(AQ59:AQ63)+SUM(AQ66:AQ70)</f>
        <v>3341.95</v>
      </c>
      <c r="AR18" s="55">
        <f t="shared" ref="AR18:AX18" si="12">+AR21*$B$71+AR23*$B$72+AR22*$B$73+AR24*$B$72</f>
        <v>668</v>
      </c>
      <c r="AS18" s="55">
        <f t="shared" si="12"/>
        <v>3996</v>
      </c>
      <c r="AT18" s="55">
        <f t="shared" si="12"/>
        <v>0</v>
      </c>
      <c r="AU18" s="55">
        <f t="shared" si="12"/>
        <v>-54</v>
      </c>
      <c r="AV18" s="55">
        <f t="shared" si="12"/>
        <v>0</v>
      </c>
      <c r="AW18" s="55">
        <f t="shared" si="12"/>
        <v>0</v>
      </c>
      <c r="AX18" s="55">
        <f t="shared" si="12"/>
        <v>0</v>
      </c>
      <c r="AY18" s="59" t="s">
        <v>73</v>
      </c>
      <c r="AZ18" s="63"/>
      <c r="BA18" s="61"/>
      <c r="BD18" s="11" t="s">
        <v>70</v>
      </c>
    </row>
    <row r="19" s="4" customFormat="1" ht="24" customHeight="1" spans="1:61">
      <c r="A19" s="53"/>
      <c r="B19" s="62" t="s">
        <v>76</v>
      </c>
      <c r="C19" s="55">
        <f>SUM(C24:C42)+SUM(C44:C57)+C64+C65</f>
        <v>23332.7544602121</v>
      </c>
      <c r="D19" s="55">
        <f t="shared" ref="D19:S19" si="13">SUM(D24:D42)+SUM(D44:D57)+D64+D65</f>
        <v>6101.46580062122</v>
      </c>
      <c r="E19" s="55">
        <f t="shared" si="13"/>
        <v>29435.2202608333</v>
      </c>
      <c r="F19" s="55">
        <f t="shared" si="13"/>
        <v>50794.4468155585</v>
      </c>
      <c r="G19" s="56">
        <f t="shared" si="1"/>
        <v>0.72563501701212</v>
      </c>
      <c r="H19" s="57"/>
      <c r="I19" s="55">
        <f t="shared" si="13"/>
        <v>7065.703233319</v>
      </c>
      <c r="J19" s="55">
        <f t="shared" si="13"/>
        <v>7378.3532266324</v>
      </c>
      <c r="K19" s="55">
        <f t="shared" si="13"/>
        <v>6644.48997016313</v>
      </c>
      <c r="L19" s="55">
        <f t="shared" si="13"/>
        <v>8347.06475289313</v>
      </c>
      <c r="M19" s="55">
        <f t="shared" si="13"/>
        <v>10552.0542866337</v>
      </c>
      <c r="N19" s="55">
        <f t="shared" si="13"/>
        <v>10946.7728209078</v>
      </c>
      <c r="O19" s="55">
        <f t="shared" si="13"/>
        <v>12984.32927591</v>
      </c>
      <c r="P19" s="55">
        <f t="shared" si="13"/>
        <v>16312.6733672518</v>
      </c>
      <c r="Q19" s="55">
        <f t="shared" si="13"/>
        <v>11567.3487765703</v>
      </c>
      <c r="R19" s="55">
        <f t="shared" si="13"/>
        <v>39203.4280389882</v>
      </c>
      <c r="S19" s="55">
        <f t="shared" si="13"/>
        <v>3177</v>
      </c>
      <c r="T19" s="58"/>
      <c r="U19" s="58"/>
      <c r="V19" s="58"/>
      <c r="W19" s="55">
        <f>SUM(W24:W42)+SUM(W44:W57)+W64+W65</f>
        <v>10504.8217616089</v>
      </c>
      <c r="X19" s="56">
        <f t="shared" si="3"/>
        <v>0.20681043736441</v>
      </c>
      <c r="Y19" s="55"/>
      <c r="Z19" s="55"/>
      <c r="AA19" s="55">
        <f>SUM(AA24:AA42)+SUM(AA44:AA57)+AA64+AA65</f>
        <v>15031.0431164585</v>
      </c>
      <c r="AB19" s="56">
        <f t="shared" si="4"/>
        <v>0.295919023806643</v>
      </c>
      <c r="AC19" s="58"/>
      <c r="AD19" s="55"/>
      <c r="AE19" s="55">
        <f t="shared" ref="AE19:AK19" si="14">SUM(AE24:AE42)+SUM(AE44:AE57)+AE64+AE65</f>
        <v>11247.1454758333</v>
      </c>
      <c r="AF19" s="56">
        <f t="shared" si="8"/>
        <v>0</v>
      </c>
      <c r="AG19" s="56"/>
      <c r="AH19" s="55">
        <f t="shared" si="14"/>
        <v>-17163.6848192438</v>
      </c>
      <c r="AI19" s="55">
        <f t="shared" si="14"/>
        <v>-17541.25563484</v>
      </c>
      <c r="AJ19" s="55">
        <f t="shared" si="14"/>
        <v>28652.9984697161</v>
      </c>
      <c r="AK19" s="55">
        <f t="shared" si="14"/>
        <v>7686.70482633333</v>
      </c>
      <c r="AL19" s="55">
        <f>AL17-AL18</f>
        <v>1089.5152</v>
      </c>
      <c r="AM19" s="55">
        <f>AM17-AM18</f>
        <v>1624.51316746903</v>
      </c>
      <c r="AN19" s="55">
        <f>AN17-AN18</f>
        <v>2492.009776</v>
      </c>
      <c r="AO19" s="55">
        <f>SUM(AP19:AS19)</f>
        <v>17546.649059</v>
      </c>
      <c r="AP19" s="55">
        <f>SUM(AP24:AP42)+SUM(AP44:AP57)+AP64+AP65</f>
        <v>3361.187617</v>
      </c>
      <c r="AQ19" s="55">
        <f>SUM(AQ24:AQ42)+SUM(AQ44:AQ57)+AQ64+AQ65</f>
        <v>4062.889913</v>
      </c>
      <c r="AR19" s="55">
        <f t="shared" ref="AR19:AX19" si="15">AR17-AR18</f>
        <v>4064.852883</v>
      </c>
      <c r="AS19" s="55">
        <f t="shared" si="15"/>
        <v>6057.718646</v>
      </c>
      <c r="AT19" s="55">
        <f t="shared" si="15"/>
        <v>1290.986766</v>
      </c>
      <c r="AU19" s="55">
        <f t="shared" si="15"/>
        <v>-1218.57571417284</v>
      </c>
      <c r="AV19" s="55">
        <f t="shared" si="15"/>
        <v>-36401.13</v>
      </c>
      <c r="AW19" s="55">
        <f t="shared" si="15"/>
        <v>-5086</v>
      </c>
      <c r="AX19" s="55">
        <f t="shared" si="15"/>
        <v>55826</v>
      </c>
      <c r="AY19" s="59" t="s">
        <v>73</v>
      </c>
      <c r="AZ19" s="63"/>
      <c r="BA19" s="61"/>
      <c r="BD19" s="11" t="s">
        <v>70</v>
      </c>
    </row>
    <row r="20" s="5" customFormat="1" ht="59.25" customHeight="1" spans="1:61">
      <c r="A20" s="66" t="s">
        <v>77</v>
      </c>
      <c r="B20" s="67" t="s">
        <v>78</v>
      </c>
      <c r="C20" s="220">
        <v>33096</v>
      </c>
      <c r="D20" s="220">
        <v>6734</v>
      </c>
      <c r="E20" s="220">
        <v>39830</v>
      </c>
      <c r="F20" s="220">
        <v>55341</v>
      </c>
      <c r="G20" s="221">
        <v>0.39</v>
      </c>
      <c r="H20" s="220"/>
      <c r="I20" s="220">
        <v>8973.34</v>
      </c>
      <c r="J20" s="220">
        <v>9807.62</v>
      </c>
      <c r="K20" s="220">
        <v>10568.77</v>
      </c>
      <c r="L20" s="220">
        <v>10479.98</v>
      </c>
      <c r="M20" s="220">
        <v>13395.37</v>
      </c>
      <c r="N20" s="220">
        <v>13745.37</v>
      </c>
      <c r="O20" s="220">
        <v>13835.37</v>
      </c>
      <c r="P20" s="220">
        <v>14365.37</v>
      </c>
      <c r="Q20" s="220">
        <v>19994</v>
      </c>
      <c r="R20" s="220">
        <v>35347</v>
      </c>
      <c r="S20" s="220"/>
      <c r="T20" s="222">
        <v>0.1248</v>
      </c>
      <c r="U20" s="222">
        <v>0.0721</v>
      </c>
      <c r="V20" s="223" t="s">
        <v>79</v>
      </c>
      <c r="W20" s="224">
        <v>3581</v>
      </c>
      <c r="X20" s="223">
        <v>0.06</v>
      </c>
      <c r="Y20" s="223">
        <v>0.11</v>
      </c>
      <c r="Z20" s="223" t="s">
        <v>80</v>
      </c>
      <c r="AA20" s="224">
        <v>8072.51</v>
      </c>
      <c r="AB20" s="223">
        <v>0.14</v>
      </c>
      <c r="AC20" s="223">
        <v>0.2</v>
      </c>
      <c r="AD20" s="223" t="s">
        <v>80</v>
      </c>
      <c r="AE20" s="224">
        <v>11118.24</v>
      </c>
      <c r="AF20" s="223">
        <v>0.2</v>
      </c>
      <c r="AG20" s="223" t="s">
        <v>81</v>
      </c>
      <c r="AH20" s="224">
        <v>-14954.26</v>
      </c>
      <c r="AI20" s="223">
        <v>-11539.59</v>
      </c>
      <c r="AJ20" s="223">
        <v>5160.73</v>
      </c>
      <c r="AK20" s="225">
        <v>3147.17</v>
      </c>
      <c r="AL20" s="223">
        <v>260.66</v>
      </c>
      <c r="AM20" s="223">
        <v>1297.14</v>
      </c>
      <c r="AN20" s="223">
        <v>455.76</v>
      </c>
      <c r="AO20" s="223">
        <v>14255.41</v>
      </c>
      <c r="AP20" s="225">
        <v>5479</v>
      </c>
      <c r="AQ20" s="223">
        <v>1542</v>
      </c>
      <c r="AR20" s="223">
        <v>3990</v>
      </c>
      <c r="AS20" s="223">
        <v>3246</v>
      </c>
      <c r="AT20" s="223"/>
      <c r="AU20" s="223">
        <v>1814</v>
      </c>
      <c r="AV20" s="223">
        <v>-773</v>
      </c>
      <c r="AW20" s="223"/>
      <c r="AX20" s="223"/>
      <c r="AY20" s="226"/>
      <c r="AZ20" s="227"/>
      <c r="BA20" s="228"/>
    </row>
    <row r="21" s="211" customFormat="1" ht="119.85" customHeight="1" spans="1:61">
      <c r="A21" s="229" t="s">
        <v>82</v>
      </c>
      <c r="B21" s="230" t="s">
        <v>83</v>
      </c>
      <c r="C21" s="231">
        <v>29003</v>
      </c>
      <c r="D21" s="231">
        <f>E21-C21</f>
        <v>9147</v>
      </c>
      <c r="E21" s="231">
        <v>38150</v>
      </c>
      <c r="F21" s="231">
        <v>30065</v>
      </c>
      <c r="G21" s="232">
        <f t="shared" ref="G20:G70" si="16">IFERROR((F21-E21)/E21,"")</f>
        <v>-0.211926605504587</v>
      </c>
      <c r="H21" s="233" t="s">
        <v>84</v>
      </c>
      <c r="I21" s="231">
        <v>6435.26</v>
      </c>
      <c r="J21" s="231">
        <v>9543.04</v>
      </c>
      <c r="K21" s="231">
        <v>9992.39</v>
      </c>
      <c r="L21" s="231">
        <v>8856.22</v>
      </c>
      <c r="M21" s="231">
        <v>5363.75</v>
      </c>
      <c r="N21" s="231">
        <v>5433.75</v>
      </c>
      <c r="O21" s="231">
        <v>5433.75</v>
      </c>
      <c r="P21" s="231">
        <v>13833.75</v>
      </c>
      <c r="Q21" s="231">
        <f>F21-R21</f>
        <v>8400</v>
      </c>
      <c r="R21" s="231">
        <v>21665</v>
      </c>
      <c r="S21" s="231">
        <v>8400</v>
      </c>
      <c r="T21" s="232">
        <v>0.41</v>
      </c>
      <c r="U21" s="232">
        <v>0.35</v>
      </c>
      <c r="V21" s="233" t="s">
        <v>85</v>
      </c>
      <c r="W21" s="231">
        <v>3009</v>
      </c>
      <c r="X21" s="234">
        <f t="shared" ref="X20:X70" si="17">IFERROR(W21/F21,"")</f>
        <v>0.100083153168136</v>
      </c>
      <c r="Y21" s="235">
        <v>0.08</v>
      </c>
      <c r="Z21" s="233" t="s">
        <v>86</v>
      </c>
      <c r="AA21" s="231">
        <v>7261</v>
      </c>
      <c r="AB21" s="236">
        <f t="shared" ref="AB20:AB70" si="18">IFERROR(AA21/F21,"")</f>
        <v>0.241510061533344</v>
      </c>
      <c r="AC21" s="235">
        <v>0.24</v>
      </c>
      <c r="AD21" s="233" t="s">
        <v>87</v>
      </c>
      <c r="AE21" s="231">
        <v>7375</v>
      </c>
      <c r="AF21" s="234">
        <f t="shared" ref="AF20:AF70" si="19">IFERROR(AE21/F21,"")</f>
        <v>0.245301846000333</v>
      </c>
      <c r="AG21" s="237" t="s">
        <v>88</v>
      </c>
      <c r="AH21" s="231">
        <v>-4623</v>
      </c>
      <c r="AI21" s="231">
        <v>3325</v>
      </c>
      <c r="AJ21" s="231">
        <f>SUM(AK21:AO21)+AT21</f>
        <v>7296</v>
      </c>
      <c r="AK21" s="231">
        <v>960</v>
      </c>
      <c r="AL21" s="231">
        <v>0</v>
      </c>
      <c r="AM21" s="231">
        <v>0</v>
      </c>
      <c r="AN21" s="231">
        <v>534</v>
      </c>
      <c r="AO21" s="231">
        <f>SUM(AP21:AS21)</f>
        <v>5802</v>
      </c>
      <c r="AP21" s="231"/>
      <c r="AQ21" s="231">
        <v>1537</v>
      </c>
      <c r="AR21" s="231">
        <v>369</v>
      </c>
      <c r="AS21" s="231">
        <v>3896</v>
      </c>
      <c r="AT21" s="231"/>
      <c r="AU21" s="231"/>
      <c r="AV21" s="231"/>
      <c r="AW21" s="231"/>
      <c r="AX21" s="231"/>
      <c r="AY21" s="238" t="s">
        <v>89</v>
      </c>
      <c r="AZ21" s="238" t="s">
        <v>90</v>
      </c>
      <c r="BA21" s="238" t="s">
        <v>91</v>
      </c>
      <c r="BC21" s="211" t="s">
        <v>92</v>
      </c>
      <c r="BD21" s="239" t="s">
        <v>70</v>
      </c>
    </row>
    <row r="22" s="211" customFormat="1" ht="94.5" customHeight="1" spans="1:61">
      <c r="A22" s="229" t="s">
        <v>93</v>
      </c>
      <c r="B22" s="230" t="s">
        <v>94</v>
      </c>
      <c r="C22" s="231">
        <v>696.22</v>
      </c>
      <c r="D22" s="231">
        <v>76.85</v>
      </c>
      <c r="E22" s="231">
        <v>773.06</v>
      </c>
      <c r="F22" s="231">
        <v>1062.51</v>
      </c>
      <c r="G22" s="232">
        <f t="shared" si="16"/>
        <v>0.374421131606861</v>
      </c>
      <c r="H22" s="233" t="s">
        <v>95</v>
      </c>
      <c r="I22" s="231">
        <v>115.68</v>
      </c>
      <c r="J22" s="231">
        <v>168.96</v>
      </c>
      <c r="K22" s="231">
        <v>367.58</v>
      </c>
      <c r="L22" s="231">
        <v>120.85</v>
      </c>
      <c r="M22" s="231">
        <v>178.08</v>
      </c>
      <c r="N22" s="231">
        <v>262.34</v>
      </c>
      <c r="O22" s="231">
        <v>294.95</v>
      </c>
      <c r="P22" s="231">
        <v>327.14</v>
      </c>
      <c r="Q22" s="231">
        <v>537.91</v>
      </c>
      <c r="R22" s="231">
        <v>524.59</v>
      </c>
      <c r="S22" s="231"/>
      <c r="T22" s="232">
        <v>0.456</v>
      </c>
      <c r="U22" s="232">
        <v>0.468</v>
      </c>
      <c r="V22" s="240"/>
      <c r="W22" s="231">
        <v>239.43</v>
      </c>
      <c r="X22" s="234">
        <f t="shared" si="17"/>
        <v>0.22534376147048</v>
      </c>
      <c r="Y22" s="236">
        <v>0.36</v>
      </c>
      <c r="Z22" s="233" t="s">
        <v>96</v>
      </c>
      <c r="AA22" s="231">
        <v>224.69</v>
      </c>
      <c r="AB22" s="236">
        <f t="shared" si="18"/>
        <v>0.211470950861639</v>
      </c>
      <c r="AC22" s="236">
        <v>0.234</v>
      </c>
      <c r="AD22" s="233" t="s">
        <v>97</v>
      </c>
      <c r="AE22" s="231">
        <v>213.36</v>
      </c>
      <c r="AF22" s="234">
        <f t="shared" si="19"/>
        <v>0.200807521811559</v>
      </c>
      <c r="AG22" s="237" t="s">
        <v>98</v>
      </c>
      <c r="AH22" s="231">
        <v>-454</v>
      </c>
      <c r="AI22" s="231">
        <v>-277</v>
      </c>
      <c r="AJ22" s="231"/>
      <c r="AK22" s="231"/>
      <c r="AL22" s="231"/>
      <c r="AM22" s="231"/>
      <c r="AN22" s="231"/>
      <c r="AO22" s="231"/>
      <c r="AP22" s="231"/>
      <c r="AQ22" s="231"/>
      <c r="AR22" s="231"/>
      <c r="AS22" s="231"/>
      <c r="AT22" s="231"/>
      <c r="AU22" s="231"/>
      <c r="AV22" s="231"/>
      <c r="AW22" s="231"/>
      <c r="AX22" s="231"/>
      <c r="AY22" s="241"/>
      <c r="AZ22" s="238" t="s">
        <v>99</v>
      </c>
      <c r="BA22" s="241"/>
      <c r="BD22" s="239" t="s">
        <v>70</v>
      </c>
    </row>
    <row r="23" s="211" customFormat="1" ht="26.4" customHeight="1" spans="1:61">
      <c r="A23" s="229" t="s">
        <v>100</v>
      </c>
      <c r="B23" s="242" t="s">
        <v>101</v>
      </c>
      <c r="C23" s="231"/>
      <c r="D23" s="231"/>
      <c r="E23" s="231"/>
      <c r="F23" s="231"/>
      <c r="G23" s="232" t="str">
        <f t="shared" si="16"/>
        <v/>
      </c>
      <c r="H23" s="240"/>
      <c r="I23" s="231"/>
      <c r="J23" s="231"/>
      <c r="K23" s="231"/>
      <c r="L23" s="231"/>
      <c r="M23" s="231"/>
      <c r="N23" s="231"/>
      <c r="O23" s="231"/>
      <c r="P23" s="231"/>
      <c r="Q23" s="231"/>
      <c r="R23" s="231"/>
      <c r="S23" s="231"/>
      <c r="T23" s="232"/>
      <c r="U23" s="232"/>
      <c r="V23" s="240"/>
      <c r="W23" s="231"/>
      <c r="X23" s="234" t="str">
        <f t="shared" si="17"/>
        <v/>
      </c>
      <c r="Y23" s="236"/>
      <c r="Z23" s="240"/>
      <c r="AA23" s="231"/>
      <c r="AB23" s="236" t="str">
        <f t="shared" si="18"/>
        <v/>
      </c>
      <c r="AC23" s="236"/>
      <c r="AD23" s="240"/>
      <c r="AE23" s="231"/>
      <c r="AF23" s="234" t="str">
        <f t="shared" si="19"/>
        <v/>
      </c>
      <c r="AG23" s="243"/>
      <c r="AH23" s="231">
        <v>-600</v>
      </c>
      <c r="AI23" s="231">
        <v>-500</v>
      </c>
      <c r="AJ23" s="231"/>
      <c r="AK23" s="231">
        <v>359</v>
      </c>
      <c r="AL23" s="231"/>
      <c r="AM23" s="231"/>
      <c r="AN23" s="231"/>
      <c r="AO23" s="231"/>
      <c r="AP23" s="231"/>
      <c r="AQ23" s="231"/>
      <c r="AR23" s="231"/>
      <c r="AS23" s="231"/>
      <c r="AT23" s="231"/>
      <c r="AU23" s="231"/>
      <c r="AV23" s="231"/>
      <c r="AW23" s="231"/>
      <c r="AX23" s="231"/>
      <c r="AY23" s="241"/>
      <c r="AZ23" s="244"/>
      <c r="BA23" s="241"/>
      <c r="BD23" s="239" t="s">
        <v>70</v>
      </c>
    </row>
    <row r="24" s="7" customFormat="1" ht="147" customHeight="1" spans="1:61">
      <c r="A24" s="66" t="s">
        <v>102</v>
      </c>
      <c r="B24" s="88" t="s">
        <v>103</v>
      </c>
      <c r="C24" s="72">
        <v>621</v>
      </c>
      <c r="D24" s="72">
        <v>275</v>
      </c>
      <c r="E24" s="72">
        <f>C24+D24</f>
        <v>896</v>
      </c>
      <c r="F24" s="72">
        <v>1750</v>
      </c>
      <c r="G24" s="97">
        <f t="shared" si="16"/>
        <v>0.953125</v>
      </c>
      <c r="H24" s="245" t="s">
        <v>104</v>
      </c>
      <c r="I24" s="72">
        <v>202.7225711178</v>
      </c>
      <c r="J24" s="72">
        <v>189.562810685</v>
      </c>
      <c r="K24" s="72">
        <v>207.842516</v>
      </c>
      <c r="L24" s="72">
        <v>296.589117</v>
      </c>
      <c r="M24" s="72">
        <v>147.5</v>
      </c>
      <c r="N24" s="72">
        <v>408.0084</v>
      </c>
      <c r="O24" s="72">
        <v>573.876</v>
      </c>
      <c r="P24" s="72">
        <v>621.1</v>
      </c>
      <c r="Q24" s="72">
        <v>1621.85</v>
      </c>
      <c r="R24" s="72">
        <v>101.7</v>
      </c>
      <c r="S24" s="72"/>
      <c r="T24" s="97">
        <v>0.07</v>
      </c>
      <c r="U24" s="97">
        <v>0.23</v>
      </c>
      <c r="V24" s="245" t="s">
        <v>105</v>
      </c>
      <c r="W24" s="90">
        <v>1</v>
      </c>
      <c r="X24" s="73">
        <f t="shared" si="17"/>
        <v>0.000571428571428571</v>
      </c>
      <c r="Y24" s="69">
        <v>0.002</v>
      </c>
      <c r="Z24" s="245" t="s">
        <v>106</v>
      </c>
      <c r="AA24" s="90">
        <v>122</v>
      </c>
      <c r="AB24" s="69">
        <f t="shared" si="18"/>
        <v>0.0697142857142857</v>
      </c>
      <c r="AC24" s="69">
        <v>0.14</v>
      </c>
      <c r="AD24" s="245" t="s">
        <v>107</v>
      </c>
      <c r="AE24" s="72">
        <v>362</v>
      </c>
      <c r="AF24" s="73">
        <f t="shared" si="19"/>
        <v>0.206857142857143</v>
      </c>
      <c r="AG24" s="246" t="s">
        <v>108</v>
      </c>
      <c r="AH24" s="72">
        <v>-87</v>
      </c>
      <c r="AI24" s="72">
        <v>-356</v>
      </c>
      <c r="AJ24" s="247">
        <f>SUM(AK24:AO24)</f>
        <v>544.33</v>
      </c>
      <c r="AK24" s="72">
        <v>27.33</v>
      </c>
      <c r="AL24" s="72">
        <v>0</v>
      </c>
      <c r="AM24" s="72">
        <v>0</v>
      </c>
      <c r="AN24" s="72">
        <v>0</v>
      </c>
      <c r="AO24" s="247">
        <f>SUM(AP24:AT24)</f>
        <v>517</v>
      </c>
      <c r="AP24" s="72">
        <v>118</v>
      </c>
      <c r="AQ24" s="72"/>
      <c r="AR24" s="72">
        <v>299</v>
      </c>
      <c r="AS24" s="72">
        <v>100</v>
      </c>
      <c r="AT24" s="72"/>
      <c r="AU24" s="72">
        <v>-54</v>
      </c>
      <c r="AV24" s="72">
        <v>0</v>
      </c>
      <c r="AW24" s="72">
        <v>0</v>
      </c>
      <c r="AX24" s="72">
        <v>0</v>
      </c>
      <c r="AY24" s="248"/>
      <c r="AZ24" s="249" t="s">
        <v>109</v>
      </c>
      <c r="BA24" s="250" t="s">
        <v>110</v>
      </c>
      <c r="BC24" s="94"/>
      <c r="BF24" s="7">
        <v>2000</v>
      </c>
      <c r="BG24" s="7">
        <f>F24-BF24</f>
        <v>-250</v>
      </c>
      <c r="BH24" s="251" t="s">
        <v>111</v>
      </c>
    </row>
    <row r="25" s="6" customFormat="1" ht="172.5" customHeight="1" spans="1:61">
      <c r="A25" s="66" t="s">
        <v>112</v>
      </c>
      <c r="B25" s="76" t="s">
        <v>113</v>
      </c>
      <c r="C25" s="95">
        <v>424.390845</v>
      </c>
      <c r="D25" s="95">
        <v>104.6314</v>
      </c>
      <c r="E25" s="95">
        <v>529.022245</v>
      </c>
      <c r="F25" s="96">
        <v>1210.307</v>
      </c>
      <c r="G25" s="97">
        <f t="shared" si="16"/>
        <v>1.28781872868125</v>
      </c>
      <c r="H25" s="252" t="s">
        <v>114</v>
      </c>
      <c r="I25" s="99">
        <v>154.459034</v>
      </c>
      <c r="J25" s="99">
        <v>61.182741</v>
      </c>
      <c r="K25" s="99">
        <v>171.560141</v>
      </c>
      <c r="L25" s="99">
        <v>141.820329</v>
      </c>
      <c r="M25" s="99">
        <v>162.5018</v>
      </c>
      <c r="N25" s="99">
        <v>242.1513</v>
      </c>
      <c r="O25" s="99">
        <v>384.9121</v>
      </c>
      <c r="P25" s="99">
        <v>420.7418</v>
      </c>
      <c r="Q25" s="99">
        <v>89.9982</v>
      </c>
      <c r="R25" s="95">
        <v>1120.3088</v>
      </c>
      <c r="S25" s="95">
        <v>44</v>
      </c>
      <c r="T25" s="97">
        <v>0.570542448550533</v>
      </c>
      <c r="U25" s="97">
        <v>0.333374651621448</v>
      </c>
      <c r="V25" s="252"/>
      <c r="W25" s="95">
        <v>928.929243714286</v>
      </c>
      <c r="X25" s="73">
        <f t="shared" si="17"/>
        <v>0.767515385529693</v>
      </c>
      <c r="Y25" s="101">
        <v>1.67871770307126</v>
      </c>
      <c r="Z25" s="252" t="s">
        <v>115</v>
      </c>
      <c r="AA25" s="95">
        <v>125.770016</v>
      </c>
      <c r="AB25" s="69">
        <f t="shared" si="18"/>
        <v>0.103915796570622</v>
      </c>
      <c r="AC25" s="101">
        <v>0.277491737611147</v>
      </c>
      <c r="AD25" s="252" t="s">
        <v>116</v>
      </c>
      <c r="AE25" s="95">
        <v>0</v>
      </c>
      <c r="AF25" s="73">
        <f t="shared" si="19"/>
        <v>0</v>
      </c>
      <c r="AG25" s="253"/>
      <c r="AH25" s="95">
        <v>-651.577585234286</v>
      </c>
      <c r="AI25" s="95">
        <v>-741.77509</v>
      </c>
      <c r="AJ25" s="254">
        <v>528.481968</v>
      </c>
      <c r="AK25" s="95">
        <v>61.56</v>
      </c>
      <c r="AL25" s="95">
        <v>0</v>
      </c>
      <c r="AM25" s="95">
        <v>0</v>
      </c>
      <c r="AN25" s="95">
        <v>0</v>
      </c>
      <c r="AO25" s="254">
        <v>466.921968</v>
      </c>
      <c r="AP25" s="95">
        <v>0</v>
      </c>
      <c r="AQ25" s="95">
        <v>413.813364</v>
      </c>
      <c r="AR25" s="95">
        <v>0</v>
      </c>
      <c r="AS25" s="95">
        <v>53.108604</v>
      </c>
      <c r="AT25" s="95">
        <v>0</v>
      </c>
      <c r="AU25" s="95">
        <v>-801.34900611429</v>
      </c>
      <c r="AV25" s="95">
        <v>0</v>
      </c>
      <c r="AW25" s="95">
        <v>0</v>
      </c>
      <c r="AX25" s="95">
        <v>850</v>
      </c>
      <c r="AY25" s="249"/>
      <c r="AZ25" s="249" t="s">
        <v>117</v>
      </c>
      <c r="BA25" s="255"/>
      <c r="BC25" s="106"/>
      <c r="BG25" s="7">
        <f t="shared" ref="BG25:BG56" si="20">F25-BF25</f>
        <v>1210.307</v>
      </c>
      <c r="BH25" s="11" t="s">
        <v>118</v>
      </c>
    </row>
    <row r="26" s="6" customFormat="1" ht="209.25" customHeight="1" spans="1:61">
      <c r="A26" s="66" t="s">
        <v>119</v>
      </c>
      <c r="B26" s="76" t="s">
        <v>120</v>
      </c>
      <c r="C26" s="95">
        <v>220.03</v>
      </c>
      <c r="D26" s="95">
        <v>8.66</v>
      </c>
      <c r="E26" s="95">
        <v>228.69</v>
      </c>
      <c r="F26" s="95">
        <v>887.14</v>
      </c>
      <c r="G26" s="97">
        <f t="shared" si="16"/>
        <v>2.87922515195242</v>
      </c>
      <c r="H26" s="252" t="s">
        <v>121</v>
      </c>
      <c r="I26" s="95">
        <v>51.76</v>
      </c>
      <c r="J26" s="95">
        <v>95.51</v>
      </c>
      <c r="K26" s="95">
        <v>72.11</v>
      </c>
      <c r="L26" s="95">
        <v>9.31</v>
      </c>
      <c r="M26" s="95">
        <v>179.94</v>
      </c>
      <c r="N26" s="95">
        <v>225.98</v>
      </c>
      <c r="O26" s="95">
        <v>229.54</v>
      </c>
      <c r="P26" s="95">
        <v>251.68</v>
      </c>
      <c r="Q26" s="95">
        <v>101.74</v>
      </c>
      <c r="R26" s="95">
        <v>785.4</v>
      </c>
      <c r="S26" s="95"/>
      <c r="T26" s="97">
        <v>-1.82416858192313</v>
      </c>
      <c r="U26" s="97">
        <v>-0.100801451856528</v>
      </c>
      <c r="V26" s="252" t="s">
        <v>122</v>
      </c>
      <c r="W26" s="95">
        <v>123.38</v>
      </c>
      <c r="X26" s="73">
        <f t="shared" si="17"/>
        <v>0.139076132290281</v>
      </c>
      <c r="Y26" s="101">
        <v>0.391272027635664</v>
      </c>
      <c r="Z26" s="252" t="s">
        <v>123</v>
      </c>
      <c r="AA26" s="95">
        <v>794.98</v>
      </c>
      <c r="AB26" s="69">
        <f t="shared" si="18"/>
        <v>0.896115607457673</v>
      </c>
      <c r="AC26" s="101">
        <v>2.82381302199484</v>
      </c>
      <c r="AD26" s="252" t="s">
        <v>124</v>
      </c>
      <c r="AE26" s="95">
        <v>2271.18</v>
      </c>
      <c r="AF26" s="73">
        <f t="shared" si="19"/>
        <v>2.56011452532858</v>
      </c>
      <c r="AG26" s="253" t="s">
        <v>125</v>
      </c>
      <c r="AH26" s="95">
        <v>-3280.845</v>
      </c>
      <c r="AI26" s="95">
        <v>-2306.276913</v>
      </c>
      <c r="AJ26" s="254">
        <v>1635.95</v>
      </c>
      <c r="AK26" s="95">
        <v>94.08</v>
      </c>
      <c r="AL26" s="95">
        <v>0</v>
      </c>
      <c r="AM26" s="95">
        <v>242.31</v>
      </c>
      <c r="AN26" s="95">
        <v>256.56</v>
      </c>
      <c r="AO26" s="254">
        <v>1043</v>
      </c>
      <c r="AP26" s="95">
        <v>164.62</v>
      </c>
      <c r="AQ26" s="95">
        <v>73.14</v>
      </c>
      <c r="AR26" s="95">
        <v>423.51</v>
      </c>
      <c r="AS26" s="95">
        <v>381.73</v>
      </c>
      <c r="AT26" s="95">
        <v>0</v>
      </c>
      <c r="AU26" s="95">
        <v>-2750.975</v>
      </c>
      <c r="AV26" s="95">
        <v>-629.5</v>
      </c>
      <c r="AW26" s="95">
        <v>0</v>
      </c>
      <c r="AX26" s="95">
        <v>3400</v>
      </c>
      <c r="AY26" s="256"/>
      <c r="AZ26" s="249" t="s">
        <v>126</v>
      </c>
      <c r="BA26" s="255" t="s">
        <v>127</v>
      </c>
      <c r="BC26" s="11"/>
      <c r="BF26" s="6">
        <v>901</v>
      </c>
      <c r="BG26" s="7">
        <f t="shared" si="20"/>
        <v>-13.86</v>
      </c>
    </row>
    <row r="27" s="8" customFormat="1" ht="206.65" customHeight="1" spans="1:61">
      <c r="A27" s="66" t="s">
        <v>128</v>
      </c>
      <c r="B27" s="76" t="s">
        <v>129</v>
      </c>
      <c r="C27" s="72">
        <v>661</v>
      </c>
      <c r="D27" s="72">
        <v>289</v>
      </c>
      <c r="E27" s="72">
        <v>951</v>
      </c>
      <c r="F27" s="72">
        <v>1102</v>
      </c>
      <c r="G27" s="97">
        <f t="shared" si="16"/>
        <v>0.158780231335436</v>
      </c>
      <c r="H27" s="252" t="s">
        <v>130</v>
      </c>
      <c r="I27" s="72">
        <v>155</v>
      </c>
      <c r="J27" s="72">
        <v>125</v>
      </c>
      <c r="K27" s="72">
        <v>219</v>
      </c>
      <c r="L27" s="72">
        <v>452</v>
      </c>
      <c r="M27" s="72">
        <v>286</v>
      </c>
      <c r="N27" s="72">
        <v>243</v>
      </c>
      <c r="O27" s="72">
        <v>264</v>
      </c>
      <c r="P27" s="72">
        <v>309</v>
      </c>
      <c r="Q27" s="72">
        <v>174</v>
      </c>
      <c r="R27" s="72">
        <v>929</v>
      </c>
      <c r="S27" s="72">
        <v>174</v>
      </c>
      <c r="T27" s="97">
        <v>0.1718</v>
      </c>
      <c r="U27" s="97">
        <v>0.2413</v>
      </c>
      <c r="V27" s="257"/>
      <c r="W27" s="68">
        <v>241.9</v>
      </c>
      <c r="X27" s="73">
        <f t="shared" si="17"/>
        <v>0.21950998185118</v>
      </c>
      <c r="Y27" s="73">
        <v>0.3137</v>
      </c>
      <c r="Z27" s="252" t="s">
        <v>131</v>
      </c>
      <c r="AA27" s="68">
        <v>23.08</v>
      </c>
      <c r="AB27" s="69">
        <f t="shared" si="18"/>
        <v>0.0209437386569873</v>
      </c>
      <c r="AC27" s="73">
        <v>0.0435</v>
      </c>
      <c r="AD27" s="252" t="s">
        <v>132</v>
      </c>
      <c r="AE27" s="72">
        <v>0</v>
      </c>
      <c r="AF27" s="73">
        <f t="shared" si="19"/>
        <v>0</v>
      </c>
      <c r="AG27" s="258"/>
      <c r="AH27" s="72">
        <v>1</v>
      </c>
      <c r="AI27" s="72">
        <v>-176</v>
      </c>
      <c r="AJ27" s="247">
        <v>247</v>
      </c>
      <c r="AK27" s="72">
        <v>22</v>
      </c>
      <c r="AL27" s="72">
        <v>0</v>
      </c>
      <c r="AM27" s="72">
        <v>0</v>
      </c>
      <c r="AN27" s="72">
        <v>2</v>
      </c>
      <c r="AO27" s="247">
        <v>223</v>
      </c>
      <c r="AP27" s="72">
        <v>0</v>
      </c>
      <c r="AQ27" s="72">
        <v>223</v>
      </c>
      <c r="AR27" s="72">
        <v>0</v>
      </c>
      <c r="AS27" s="72">
        <v>0</v>
      </c>
      <c r="AT27" s="72">
        <v>0</v>
      </c>
      <c r="AU27" s="72">
        <v>-78</v>
      </c>
      <c r="AV27" s="72">
        <v>0</v>
      </c>
      <c r="AW27" s="72">
        <v>0</v>
      </c>
      <c r="AX27" s="72">
        <v>100</v>
      </c>
      <c r="AY27" s="259"/>
      <c r="AZ27" s="249" t="s">
        <v>133</v>
      </c>
      <c r="BA27" s="249" t="s">
        <v>134</v>
      </c>
      <c r="BB27" s="8" t="str">
        <f>_xlfn.DISPIMG("ID_739AA885C30C471A8F9F88960B22E27D",1)</f>
        <v>=DISPIMG("ID_739AA885C30C471A8F9F88960B22E27D",1)</v>
      </c>
      <c r="BC27" s="110" t="s">
        <v>135</v>
      </c>
      <c r="BG27" s="7">
        <f t="shared" si="20"/>
        <v>1102</v>
      </c>
      <c r="BH27" s="110" t="s">
        <v>136</v>
      </c>
    </row>
    <row r="28" s="6" customFormat="1" ht="323.25" customHeight="1" spans="1:61">
      <c r="A28" s="66" t="s">
        <v>137</v>
      </c>
      <c r="B28" s="76" t="s">
        <v>138</v>
      </c>
      <c r="C28" s="72">
        <v>177.9805</v>
      </c>
      <c r="D28" s="72">
        <v>0</v>
      </c>
      <c r="E28" s="72">
        <v>177.9805</v>
      </c>
      <c r="F28" s="72">
        <v>1510.9289</v>
      </c>
      <c r="G28" s="97">
        <f t="shared" si="16"/>
        <v>7.48929461373578</v>
      </c>
      <c r="H28" s="252" t="s">
        <v>139</v>
      </c>
      <c r="I28" s="72">
        <v>10.7768</v>
      </c>
      <c r="J28" s="72">
        <v>116.9965</v>
      </c>
      <c r="K28" s="72">
        <v>35.4381</v>
      </c>
      <c r="L28" s="72">
        <v>14.7691</v>
      </c>
      <c r="M28" s="72">
        <v>252.3894</v>
      </c>
      <c r="N28" s="72">
        <v>419.9557</v>
      </c>
      <c r="O28" s="72">
        <v>425.7078</v>
      </c>
      <c r="P28" s="72">
        <v>412.876</v>
      </c>
      <c r="Q28" s="72">
        <v>1156.9466</v>
      </c>
      <c r="R28" s="72">
        <v>353.9823</v>
      </c>
      <c r="S28" s="72"/>
      <c r="T28" s="97">
        <v>-0.888720955385562</v>
      </c>
      <c r="U28" s="97">
        <v>0.267039610830319</v>
      </c>
      <c r="V28" s="260"/>
      <c r="W28" s="72">
        <v>329.465944</v>
      </c>
      <c r="X28" s="73">
        <f t="shared" si="17"/>
        <v>0.218055226821063</v>
      </c>
      <c r="Y28" s="101">
        <v>1.0524336879602</v>
      </c>
      <c r="Z28" s="252" t="s">
        <v>140</v>
      </c>
      <c r="AA28" s="72">
        <v>373.196298</v>
      </c>
      <c r="AB28" s="69">
        <f t="shared" si="18"/>
        <v>0.24699792160968</v>
      </c>
      <c r="AC28" s="101">
        <v>1.13563605001672</v>
      </c>
      <c r="AD28" s="252" t="s">
        <v>141</v>
      </c>
      <c r="AE28" s="72">
        <v>1408.54848</v>
      </c>
      <c r="AF28" s="73">
        <f t="shared" si="19"/>
        <v>0.932240080919757</v>
      </c>
      <c r="AG28" s="253" t="s">
        <v>142</v>
      </c>
      <c r="AH28" s="72">
        <v>-1706.29515655172</v>
      </c>
      <c r="AI28" s="72">
        <v>-801.653346</v>
      </c>
      <c r="AJ28" s="247">
        <v>1789.48283146903</v>
      </c>
      <c r="AK28" s="72">
        <v>34.5088</v>
      </c>
      <c r="AL28" s="72">
        <v>0</v>
      </c>
      <c r="AM28" s="72">
        <v>129.084119469027</v>
      </c>
      <c r="AN28" s="72">
        <v>216.6105</v>
      </c>
      <c r="AO28" s="254">
        <v>1408.683012</v>
      </c>
      <c r="AP28" s="95">
        <v>178.08799</v>
      </c>
      <c r="AQ28" s="95">
        <v>184.985944</v>
      </c>
      <c r="AR28" s="95">
        <v>865.81308</v>
      </c>
      <c r="AS28" s="95">
        <v>179.795998</v>
      </c>
      <c r="AT28" s="95">
        <v>0.5964</v>
      </c>
      <c r="AU28" s="72">
        <v>-1296.413012</v>
      </c>
      <c r="AV28" s="115">
        <v>-929</v>
      </c>
      <c r="AW28" s="116">
        <v>0</v>
      </c>
      <c r="AX28" s="95">
        <v>2200</v>
      </c>
      <c r="AY28" s="259"/>
      <c r="AZ28" s="261" t="s">
        <v>143</v>
      </c>
      <c r="BA28" s="259"/>
      <c r="BF28" s="6">
        <v>1419</v>
      </c>
      <c r="BG28" s="7">
        <f t="shared" si="20"/>
        <v>91.9289000000001</v>
      </c>
    </row>
    <row r="29" s="6" customFormat="1" ht="141.75" customHeight="1" spans="1:61">
      <c r="A29" s="66" t="s">
        <v>144</v>
      </c>
      <c r="B29" s="76" t="s">
        <v>145</v>
      </c>
      <c r="C29" s="95">
        <v>2129.657963</v>
      </c>
      <c r="D29" s="95">
        <v>470</v>
      </c>
      <c r="E29" s="95">
        <v>2599.657963</v>
      </c>
      <c r="F29" s="96">
        <v>2743.36</v>
      </c>
      <c r="G29" s="97">
        <f t="shared" si="16"/>
        <v>0.05527728610658</v>
      </c>
      <c r="H29" s="252" t="s">
        <v>146</v>
      </c>
      <c r="I29" s="72">
        <v>427.411302</v>
      </c>
      <c r="J29" s="72">
        <v>379.338019</v>
      </c>
      <c r="K29" s="72">
        <v>1021.701384</v>
      </c>
      <c r="L29" s="72">
        <v>771.207258</v>
      </c>
      <c r="M29" s="72">
        <v>685.83</v>
      </c>
      <c r="N29" s="72">
        <v>685.83</v>
      </c>
      <c r="O29" s="72">
        <v>685.83</v>
      </c>
      <c r="P29" s="72">
        <v>685.87</v>
      </c>
      <c r="Q29" s="72">
        <v>1769.91</v>
      </c>
      <c r="R29" s="72">
        <v>973.45</v>
      </c>
      <c r="S29" s="72"/>
      <c r="T29" s="97">
        <v>0.298019190996166</v>
      </c>
      <c r="U29" s="97">
        <v>0.241021444506007</v>
      </c>
      <c r="V29" s="252" t="s">
        <v>147</v>
      </c>
      <c r="W29" s="72">
        <v>220.12</v>
      </c>
      <c r="X29" s="73">
        <f t="shared" si="17"/>
        <v>0.0802373731482561</v>
      </c>
      <c r="Y29" s="101">
        <v>0.101683963722269</v>
      </c>
      <c r="Z29" s="252" t="s">
        <v>148</v>
      </c>
      <c r="AA29" s="72">
        <v>326.56</v>
      </c>
      <c r="AB29" s="69">
        <f t="shared" si="18"/>
        <v>0.119036509973172</v>
      </c>
      <c r="AC29" s="101">
        <v>0.105926078322327</v>
      </c>
      <c r="AD29" s="252" t="s">
        <v>149</v>
      </c>
      <c r="AE29" s="72">
        <v>476.49</v>
      </c>
      <c r="AF29" s="73">
        <f t="shared" si="19"/>
        <v>0.173688469613904</v>
      </c>
      <c r="AG29" s="253" t="s">
        <v>150</v>
      </c>
      <c r="AH29" s="72">
        <v>-382.46141</v>
      </c>
      <c r="AI29" s="72">
        <v>-520.246275</v>
      </c>
      <c r="AJ29" s="247">
        <f>SUM(AK29:AO29)</f>
        <v>647.54</v>
      </c>
      <c r="AK29" s="72">
        <v>57.48</v>
      </c>
      <c r="AL29" s="72">
        <v>0</v>
      </c>
      <c r="AM29" s="72">
        <v>30</v>
      </c>
      <c r="AN29" s="72">
        <v>49.02</v>
      </c>
      <c r="AO29" s="254">
        <v>511.04</v>
      </c>
      <c r="AP29" s="95">
        <v>102.44</v>
      </c>
      <c r="AQ29" s="95">
        <v>174.4</v>
      </c>
      <c r="AR29" s="95">
        <v>122</v>
      </c>
      <c r="AS29" s="95">
        <v>112.2</v>
      </c>
      <c r="AT29" s="95">
        <v>0</v>
      </c>
      <c r="AU29" s="95">
        <v>267.76</v>
      </c>
      <c r="AV29" s="95">
        <v>-180</v>
      </c>
      <c r="AW29" s="95">
        <v>0</v>
      </c>
      <c r="AX29" s="95">
        <v>0</v>
      </c>
      <c r="AY29" s="262" t="s">
        <v>89</v>
      </c>
      <c r="AZ29" s="249" t="s">
        <v>151</v>
      </c>
      <c r="BA29" s="256"/>
      <c r="BF29" s="6">
        <v>2900</v>
      </c>
      <c r="BG29" s="7">
        <f t="shared" si="20"/>
        <v>-156.64</v>
      </c>
    </row>
    <row r="30" s="6" customFormat="1" ht="115.65" customHeight="1" spans="1:61">
      <c r="A30" s="66" t="s">
        <v>152</v>
      </c>
      <c r="B30" s="76" t="s">
        <v>153</v>
      </c>
      <c r="C30" s="95">
        <v>2056.39327433628</v>
      </c>
      <c r="D30" s="95">
        <v>442.656991150442</v>
      </c>
      <c r="E30" s="95">
        <v>2499.05026548673</v>
      </c>
      <c r="F30" s="95">
        <v>2603.89194690266</v>
      </c>
      <c r="G30" s="97">
        <f t="shared" si="16"/>
        <v>0.0419526101030667</v>
      </c>
      <c r="H30" s="252" t="s">
        <v>154</v>
      </c>
      <c r="I30" s="72">
        <v>620.845221238938</v>
      </c>
      <c r="J30" s="72">
        <v>466.584159292035</v>
      </c>
      <c r="K30" s="72">
        <v>638.122654867257</v>
      </c>
      <c r="L30" s="72">
        <v>773.498230088496</v>
      </c>
      <c r="M30" s="72">
        <v>664.235486725664</v>
      </c>
      <c r="N30" s="72">
        <v>469.555486725664</v>
      </c>
      <c r="O30" s="72">
        <v>602.305486725664</v>
      </c>
      <c r="P30" s="72">
        <v>867.795486725664</v>
      </c>
      <c r="Q30" s="72">
        <v>2496.62194690266</v>
      </c>
      <c r="R30" s="72">
        <v>107.27</v>
      </c>
      <c r="S30" s="72"/>
      <c r="T30" s="97">
        <v>0.342211710303539</v>
      </c>
      <c r="U30" s="97">
        <v>0.347340544594599</v>
      </c>
      <c r="V30" s="252" t="s">
        <v>155</v>
      </c>
      <c r="W30" s="72">
        <v>26.32</v>
      </c>
      <c r="X30" s="73">
        <f t="shared" si="17"/>
        <v>0.0101079463114081</v>
      </c>
      <c r="Y30" s="97">
        <v>0.00363338029866779</v>
      </c>
      <c r="Z30" s="252" t="s">
        <v>156</v>
      </c>
      <c r="AA30" s="72">
        <v>101.306</v>
      </c>
      <c r="AB30" s="69">
        <f t="shared" si="18"/>
        <v>0.038905608245574</v>
      </c>
      <c r="AC30" s="101">
        <v>0.037722330479671</v>
      </c>
      <c r="AD30" s="252" t="s">
        <v>157</v>
      </c>
      <c r="AE30" s="72">
        <v>139.84</v>
      </c>
      <c r="AF30" s="73">
        <f t="shared" si="19"/>
        <v>0.0537042253870558</v>
      </c>
      <c r="AG30" s="253" t="s">
        <v>158</v>
      </c>
      <c r="AH30" s="95">
        <v>442</v>
      </c>
      <c r="AI30" s="95">
        <v>519.30426548673</v>
      </c>
      <c r="AJ30" s="254">
        <f>SUM(AK30:AO30)</f>
        <v>551.95</v>
      </c>
      <c r="AK30" s="95">
        <v>7.78</v>
      </c>
      <c r="AL30" s="95">
        <v>0</v>
      </c>
      <c r="AM30" s="95">
        <v>0</v>
      </c>
      <c r="AN30" s="95">
        <v>0</v>
      </c>
      <c r="AO30" s="254">
        <v>544.17</v>
      </c>
      <c r="AP30" s="95">
        <v>394.36</v>
      </c>
      <c r="AQ30" s="95">
        <v>15.64</v>
      </c>
      <c r="AR30" s="95">
        <v>44.48</v>
      </c>
      <c r="AS30" s="95">
        <v>89.69</v>
      </c>
      <c r="AT30" s="95">
        <v>0</v>
      </c>
      <c r="AU30" s="95">
        <v>-81.3960000000002</v>
      </c>
      <c r="AV30" s="95">
        <v>-77</v>
      </c>
      <c r="AW30" s="95">
        <v>0</v>
      </c>
      <c r="AX30" s="95">
        <v>0</v>
      </c>
      <c r="AY30" s="262" t="s">
        <v>89</v>
      </c>
      <c r="AZ30" s="263" t="s">
        <v>159</v>
      </c>
      <c r="BA30" s="256"/>
      <c r="BF30" s="6">
        <v>2800</v>
      </c>
      <c r="BG30" s="7">
        <f t="shared" si="20"/>
        <v>-196.10805309734</v>
      </c>
    </row>
    <row r="31" s="6" customFormat="1" ht="264" spans="1:61">
      <c r="A31" s="66" t="s">
        <v>160</v>
      </c>
      <c r="B31" s="76" t="s">
        <v>161</v>
      </c>
      <c r="C31" s="95">
        <v>2097.004831</v>
      </c>
      <c r="D31" s="95">
        <v>160.832108265487</v>
      </c>
      <c r="E31" s="95">
        <v>2257.83693926549</v>
      </c>
      <c r="F31" s="95">
        <v>1305.65220332409</v>
      </c>
      <c r="G31" s="97">
        <f t="shared" si="16"/>
        <v>-0.421724314711212</v>
      </c>
      <c r="H31" s="264" t="s">
        <v>162</v>
      </c>
      <c r="I31" s="72">
        <v>982.614976</v>
      </c>
      <c r="J31" s="72">
        <v>805.782881</v>
      </c>
      <c r="K31" s="72">
        <v>244.540814</v>
      </c>
      <c r="L31" s="72">
        <v>224.898268265487</v>
      </c>
      <c r="M31" s="72">
        <v>210.976141497245</v>
      </c>
      <c r="N31" s="72">
        <v>255.177143333945</v>
      </c>
      <c r="O31" s="72">
        <v>354.572735252463</v>
      </c>
      <c r="P31" s="72">
        <v>484.92618324044</v>
      </c>
      <c r="Q31" s="72">
        <v>171.980572</v>
      </c>
      <c r="R31" s="72">
        <v>1133.67163132409</v>
      </c>
      <c r="S31" s="72">
        <v>59</v>
      </c>
      <c r="T31" s="97">
        <v>0.155460920035017</v>
      </c>
      <c r="U31" s="97">
        <v>0.444395155129441</v>
      </c>
      <c r="V31" s="252" t="s">
        <v>163</v>
      </c>
      <c r="W31" s="95">
        <v>528.142268</v>
      </c>
      <c r="X31" s="73">
        <f t="shared" si="17"/>
        <v>0.404504558453921</v>
      </c>
      <c r="Y31" s="97">
        <v>0.279054643425653</v>
      </c>
      <c r="Z31" s="252" t="s">
        <v>164</v>
      </c>
      <c r="AA31" s="95">
        <v>1185.180012</v>
      </c>
      <c r="AB31" s="69">
        <f t="shared" si="18"/>
        <v>0.907730258473599</v>
      </c>
      <c r="AC31" s="97">
        <v>0.580178253893812</v>
      </c>
      <c r="AD31" s="252" t="s">
        <v>165</v>
      </c>
      <c r="AE31" s="95">
        <v>198.847138</v>
      </c>
      <c r="AF31" s="73">
        <f t="shared" si="19"/>
        <v>0.152297171860738</v>
      </c>
      <c r="AG31" s="253" t="s">
        <v>166</v>
      </c>
      <c r="AH31" s="95">
        <v>-1332.35390455869</v>
      </c>
      <c r="AI31" s="95">
        <v>-1906.43300013274</v>
      </c>
      <c r="AJ31" s="265">
        <v>1912.169418</v>
      </c>
      <c r="AK31" s="95">
        <v>390.902118</v>
      </c>
      <c r="AL31" s="95">
        <v>8.286324</v>
      </c>
      <c r="AM31" s="95">
        <v>225.389664</v>
      </c>
      <c r="AN31" s="95">
        <v>125.652</v>
      </c>
      <c r="AO31" s="254">
        <v>795.640846</v>
      </c>
      <c r="AP31" s="95">
        <v>253.25077</v>
      </c>
      <c r="AQ31" s="95">
        <v>284.766024</v>
      </c>
      <c r="AR31" s="95">
        <v>57.171264</v>
      </c>
      <c r="AS31" s="95">
        <v>200.452788</v>
      </c>
      <c r="AT31" s="95">
        <v>316.378466</v>
      </c>
      <c r="AU31" s="95">
        <v>-590.104247585804</v>
      </c>
      <c r="AV31" s="95">
        <v>0</v>
      </c>
      <c r="AW31" s="95">
        <v>0</v>
      </c>
      <c r="AX31" s="95">
        <v>400</v>
      </c>
      <c r="AY31" s="249"/>
      <c r="AZ31" s="249" t="s">
        <v>167</v>
      </c>
      <c r="BA31" s="249" t="s">
        <v>168</v>
      </c>
      <c r="BB31" s="266" t="s">
        <v>169</v>
      </c>
      <c r="BC31" s="6" t="s">
        <v>169</v>
      </c>
      <c r="BF31" s="6">
        <v>1206</v>
      </c>
      <c r="BG31" s="7">
        <f t="shared" si="20"/>
        <v>99.6522033240899</v>
      </c>
      <c r="BI31" s="11" t="s">
        <v>170</v>
      </c>
    </row>
    <row r="32" s="6" customFormat="1" ht="204.75" customHeight="1" spans="1:61">
      <c r="A32" s="66" t="s">
        <v>171</v>
      </c>
      <c r="B32" s="76" t="s">
        <v>172</v>
      </c>
      <c r="C32" s="95">
        <v>1779.29199</v>
      </c>
      <c r="D32" s="95">
        <v>360.931522822124</v>
      </c>
      <c r="E32" s="95">
        <v>2140.22351282212</v>
      </c>
      <c r="F32" s="95">
        <v>5577.49229746926</v>
      </c>
      <c r="G32" s="97">
        <f t="shared" si="16"/>
        <v>1.60603262418827</v>
      </c>
      <c r="H32" s="252" t="s">
        <v>173</v>
      </c>
      <c r="I32" s="72">
        <v>544.96212</v>
      </c>
      <c r="J32" s="72">
        <v>494.648567</v>
      </c>
      <c r="K32" s="72">
        <v>587.521915</v>
      </c>
      <c r="L32" s="72">
        <v>513.090910822124</v>
      </c>
      <c r="M32" s="72">
        <v>619.227105831858</v>
      </c>
      <c r="N32" s="72">
        <v>798.239381524336</v>
      </c>
      <c r="O32" s="72">
        <v>1587.21939101699</v>
      </c>
      <c r="P32" s="72">
        <v>2572.80641909607</v>
      </c>
      <c r="Q32" s="72">
        <v>194.1048</v>
      </c>
      <c r="R32" s="72">
        <v>5383.38749746926</v>
      </c>
      <c r="S32" s="72">
        <v>194</v>
      </c>
      <c r="T32" s="97">
        <v>0.766023704784973</v>
      </c>
      <c r="U32" s="97">
        <v>0.846525166062901</v>
      </c>
      <c r="V32" s="267" t="s">
        <v>174</v>
      </c>
      <c r="W32" s="72">
        <v>4086.39892638364</v>
      </c>
      <c r="X32" s="73">
        <f t="shared" si="17"/>
        <v>0.732658820208108</v>
      </c>
      <c r="Y32" s="101">
        <v>0.807126437494074</v>
      </c>
      <c r="Z32" s="267" t="s">
        <v>175</v>
      </c>
      <c r="AA32" s="112">
        <v>348.65584</v>
      </c>
      <c r="AB32" s="69">
        <f t="shared" si="18"/>
        <v>0.0625112185557297</v>
      </c>
      <c r="AC32" s="101">
        <v>0.155253245751822</v>
      </c>
      <c r="AD32" s="252" t="s">
        <v>176</v>
      </c>
      <c r="AE32" s="72">
        <v>0</v>
      </c>
      <c r="AF32" s="73">
        <f t="shared" si="19"/>
        <v>0</v>
      </c>
      <c r="AG32" s="253"/>
      <c r="AH32" s="95">
        <v>250.815540436353</v>
      </c>
      <c r="AI32" s="95">
        <v>-437.504814985255</v>
      </c>
      <c r="AJ32" s="254">
        <v>1163.03759</v>
      </c>
      <c r="AK32" s="95">
        <v>174.34375</v>
      </c>
      <c r="AL32" s="95">
        <v>0</v>
      </c>
      <c r="AM32" s="95">
        <v>17.64</v>
      </c>
      <c r="AN32" s="95">
        <v>47.4</v>
      </c>
      <c r="AO32" s="254">
        <v>923.65384</v>
      </c>
      <c r="AP32" s="95">
        <v>0</v>
      </c>
      <c r="AQ32" s="95">
        <v>841.028</v>
      </c>
      <c r="AR32" s="95">
        <v>0</v>
      </c>
      <c r="AS32" s="95">
        <v>82.62584</v>
      </c>
      <c r="AT32" s="95">
        <v>0</v>
      </c>
      <c r="AU32" s="95">
        <v>498.421846648751</v>
      </c>
      <c r="AV32" s="95">
        <v>-11</v>
      </c>
      <c r="AW32" s="95">
        <v>0</v>
      </c>
      <c r="AX32" s="95">
        <v>850</v>
      </c>
      <c r="AY32" s="249"/>
      <c r="AZ32" s="249" t="s">
        <v>177</v>
      </c>
      <c r="BA32" s="249"/>
      <c r="BB32" s="129"/>
      <c r="BG32" s="7">
        <f t="shared" si="20"/>
        <v>5577.49229746926</v>
      </c>
    </row>
    <row r="33" s="6" customFormat="1" ht="198" spans="1:60">
      <c r="A33" s="66" t="s">
        <v>178</v>
      </c>
      <c r="B33" s="76" t="s">
        <v>179</v>
      </c>
      <c r="C33" s="72">
        <v>814</v>
      </c>
      <c r="D33" s="72">
        <v>129</v>
      </c>
      <c r="E33" s="72">
        <v>943</v>
      </c>
      <c r="F33" s="72">
        <v>1300</v>
      </c>
      <c r="G33" s="97">
        <f t="shared" si="16"/>
        <v>0.378579003181336</v>
      </c>
      <c r="H33" s="264" t="s">
        <v>180</v>
      </c>
      <c r="I33" s="72">
        <v>241.47</v>
      </c>
      <c r="J33" s="72">
        <v>307.39</v>
      </c>
      <c r="K33" s="72">
        <v>198.59</v>
      </c>
      <c r="L33" s="72">
        <v>195.32</v>
      </c>
      <c r="M33" s="72">
        <v>310.3</v>
      </c>
      <c r="N33" s="72">
        <v>321.08</v>
      </c>
      <c r="O33" s="72">
        <v>331.34</v>
      </c>
      <c r="P33" s="72">
        <v>337.59</v>
      </c>
      <c r="Q33" s="72">
        <v>108.83</v>
      </c>
      <c r="R33" s="72">
        <v>1191.47</v>
      </c>
      <c r="S33" s="72">
        <v>795</v>
      </c>
      <c r="T33" s="97">
        <v>0.6227</v>
      </c>
      <c r="U33" s="97">
        <v>0.3622</v>
      </c>
      <c r="V33" s="264" t="s">
        <v>181</v>
      </c>
      <c r="W33" s="131">
        <v>176.06</v>
      </c>
      <c r="X33" s="73">
        <f t="shared" si="17"/>
        <v>0.135430769230769</v>
      </c>
      <c r="Y33" s="69">
        <v>0.0733</v>
      </c>
      <c r="Z33" s="252" t="s">
        <v>182</v>
      </c>
      <c r="AA33" s="131">
        <v>1270.14</v>
      </c>
      <c r="AB33" s="69">
        <f t="shared" si="18"/>
        <v>0.977030769230769</v>
      </c>
      <c r="AC33" s="69">
        <v>1.371</v>
      </c>
      <c r="AD33" s="252" t="s">
        <v>183</v>
      </c>
      <c r="AE33" s="72">
        <v>1619.5</v>
      </c>
      <c r="AF33" s="73">
        <f t="shared" si="19"/>
        <v>1.24576923076923</v>
      </c>
      <c r="AG33" s="253" t="s">
        <v>184</v>
      </c>
      <c r="AH33" s="72">
        <v>-2795</v>
      </c>
      <c r="AI33" s="72">
        <v>-2183</v>
      </c>
      <c r="AJ33" s="247">
        <v>3744.7492889137</v>
      </c>
      <c r="AK33" s="72">
        <v>732</v>
      </c>
      <c r="AL33" s="72">
        <v>0</v>
      </c>
      <c r="AM33" s="72">
        <v>267</v>
      </c>
      <c r="AN33" s="72">
        <v>211</v>
      </c>
      <c r="AO33" s="247">
        <v>1605</v>
      </c>
      <c r="AP33" s="72">
        <v>306</v>
      </c>
      <c r="AQ33" s="72">
        <v>154</v>
      </c>
      <c r="AR33" s="72">
        <v>996</v>
      </c>
      <c r="AS33" s="72">
        <v>150</v>
      </c>
      <c r="AT33" s="72">
        <v>928.701584000005</v>
      </c>
      <c r="AU33" s="72">
        <v>-1246</v>
      </c>
      <c r="AV33" s="72">
        <v>-461</v>
      </c>
      <c r="AW33" s="72">
        <v>0</v>
      </c>
      <c r="AX33" s="72">
        <v>1750</v>
      </c>
      <c r="AY33" s="262" t="s">
        <v>185</v>
      </c>
      <c r="AZ33" s="249" t="s">
        <v>186</v>
      </c>
      <c r="BA33" s="249"/>
      <c r="BG33" s="7">
        <f t="shared" si="20"/>
        <v>1300</v>
      </c>
      <c r="BH33" s="106" t="s">
        <v>187</v>
      </c>
    </row>
    <row r="34" s="6" customFormat="1" ht="26.4" customHeight="1" spans="1:60">
      <c r="A34" s="66" t="s">
        <v>188</v>
      </c>
      <c r="B34" s="76" t="s">
        <v>189</v>
      </c>
      <c r="C34" s="72"/>
      <c r="D34" s="72"/>
      <c r="E34" s="72"/>
      <c r="F34" s="72"/>
      <c r="G34" s="97" t="str">
        <f t="shared" si="16"/>
        <v/>
      </c>
      <c r="H34" s="268"/>
      <c r="I34" s="72"/>
      <c r="J34" s="72"/>
      <c r="K34" s="72"/>
      <c r="L34" s="72"/>
      <c r="M34" s="72"/>
      <c r="N34" s="72"/>
      <c r="O34" s="72"/>
      <c r="P34" s="72"/>
      <c r="Q34" s="72"/>
      <c r="R34" s="72"/>
      <c r="S34" s="72"/>
      <c r="T34" s="97"/>
      <c r="U34" s="97"/>
      <c r="V34" s="268"/>
      <c r="W34" s="131"/>
      <c r="X34" s="73" t="str">
        <f t="shared" si="17"/>
        <v/>
      </c>
      <c r="Y34" s="69"/>
      <c r="Z34" s="268"/>
      <c r="AA34" s="131">
        <v>820.2</v>
      </c>
      <c r="AB34" s="69" t="str">
        <f t="shared" si="18"/>
        <v/>
      </c>
      <c r="AC34" s="69">
        <v>0</v>
      </c>
      <c r="AD34" s="252" t="s">
        <v>190</v>
      </c>
      <c r="AE34" s="131"/>
      <c r="AF34" s="73" t="str">
        <f t="shared" si="19"/>
        <v/>
      </c>
      <c r="AG34" s="258"/>
      <c r="AH34" s="72">
        <v>-857.32</v>
      </c>
      <c r="AI34" s="72">
        <v>-119.65</v>
      </c>
      <c r="AJ34" s="247">
        <f>SUM(AK34:AT34)</f>
        <v>820.2</v>
      </c>
      <c r="AK34" s="72">
        <v>736.68</v>
      </c>
      <c r="AL34" s="72">
        <v>83.52</v>
      </c>
      <c r="AM34" s="72"/>
      <c r="AN34" s="72"/>
      <c r="AO34" s="247"/>
      <c r="AP34" s="72"/>
      <c r="AQ34" s="72"/>
      <c r="AR34" s="72"/>
      <c r="AS34" s="72"/>
      <c r="AT34" s="72"/>
      <c r="AU34" s="72">
        <v>5740</v>
      </c>
      <c r="AV34" s="72">
        <v>0</v>
      </c>
      <c r="AW34" s="72">
        <v>5777</v>
      </c>
      <c r="AX34" s="72">
        <v>5777</v>
      </c>
      <c r="AY34" s="259"/>
      <c r="AZ34" s="249" t="s">
        <v>191</v>
      </c>
      <c r="BA34" s="259"/>
      <c r="BG34" s="7">
        <f t="shared" si="20"/>
        <v>0</v>
      </c>
    </row>
    <row r="35" s="6" customFormat="1" ht="112.5" customHeight="1" spans="1:60">
      <c r="A35" s="66" t="s">
        <v>192</v>
      </c>
      <c r="B35" s="76" t="s">
        <v>193</v>
      </c>
      <c r="C35" s="72">
        <v>0</v>
      </c>
      <c r="D35" s="72">
        <v>0</v>
      </c>
      <c r="E35" s="72">
        <v>0</v>
      </c>
      <c r="F35" s="72">
        <v>1037</v>
      </c>
      <c r="G35" s="97" t="str">
        <f t="shared" si="16"/>
        <v/>
      </c>
      <c r="H35" s="269" t="s">
        <v>194</v>
      </c>
      <c r="I35" s="72">
        <v>1.18</v>
      </c>
      <c r="J35" s="72">
        <v>-1.18</v>
      </c>
      <c r="K35" s="72">
        <v>0</v>
      </c>
      <c r="L35" s="72">
        <v>0</v>
      </c>
      <c r="M35" s="72">
        <v>109.07</v>
      </c>
      <c r="N35" s="72">
        <v>234.78</v>
      </c>
      <c r="O35" s="72">
        <v>309.36</v>
      </c>
      <c r="P35" s="72">
        <v>383.94</v>
      </c>
      <c r="Q35" s="72">
        <v>401.65</v>
      </c>
      <c r="R35" s="72">
        <v>635.5</v>
      </c>
      <c r="S35" s="72"/>
      <c r="T35" s="97">
        <v>0</v>
      </c>
      <c r="U35" s="97">
        <v>0.8473</v>
      </c>
      <c r="V35" s="268"/>
      <c r="W35" s="131">
        <v>332.4</v>
      </c>
      <c r="X35" s="73">
        <f t="shared" si="17"/>
        <v>0.320540019286403</v>
      </c>
      <c r="Y35" s="69">
        <v>0</v>
      </c>
      <c r="Z35" s="269" t="s">
        <v>195</v>
      </c>
      <c r="AA35" s="72">
        <v>1009.23</v>
      </c>
      <c r="AB35" s="69">
        <f t="shared" si="18"/>
        <v>0.973220829315333</v>
      </c>
      <c r="AC35" s="69">
        <v>0</v>
      </c>
      <c r="AD35" s="252" t="s">
        <v>196</v>
      </c>
      <c r="AE35" s="72">
        <v>0</v>
      </c>
      <c r="AF35" s="73">
        <f t="shared" si="19"/>
        <v>0</v>
      </c>
      <c r="AG35" s="258"/>
      <c r="AH35" s="72">
        <v>-887</v>
      </c>
      <c r="AI35" s="72">
        <v>-841</v>
      </c>
      <c r="AJ35" s="247">
        <v>915</v>
      </c>
      <c r="AK35" s="72">
        <v>851</v>
      </c>
      <c r="AL35" s="72">
        <v>65</v>
      </c>
      <c r="AM35" s="72">
        <v>0</v>
      </c>
      <c r="AN35" s="72">
        <v>0</v>
      </c>
      <c r="AO35" s="247">
        <v>0</v>
      </c>
      <c r="AP35" s="72">
        <v>0</v>
      </c>
      <c r="AQ35" s="72">
        <v>0</v>
      </c>
      <c r="AR35" s="72">
        <v>0</v>
      </c>
      <c r="AS35" s="72">
        <v>0</v>
      </c>
      <c r="AT35" s="72">
        <v>0</v>
      </c>
      <c r="AU35" s="72">
        <v>80</v>
      </c>
      <c r="AV35" s="72">
        <v>-13208</v>
      </c>
      <c r="AW35" s="72">
        <v>0</v>
      </c>
      <c r="AX35" s="72">
        <v>13130</v>
      </c>
      <c r="AY35" s="259"/>
      <c r="AZ35" s="249" t="s">
        <v>197</v>
      </c>
      <c r="BA35" s="259"/>
      <c r="BG35" s="7">
        <f t="shared" si="20"/>
        <v>1037</v>
      </c>
    </row>
    <row r="36" s="6" customFormat="1" ht="26.4" customHeight="1" spans="1:60">
      <c r="A36" s="66" t="s">
        <v>198</v>
      </c>
      <c r="B36" s="76" t="s">
        <v>199</v>
      </c>
      <c r="C36" s="72"/>
      <c r="D36" s="72"/>
      <c r="E36" s="72"/>
      <c r="F36" s="72"/>
      <c r="G36" s="97" t="str">
        <f t="shared" si="16"/>
        <v/>
      </c>
      <c r="H36" s="268"/>
      <c r="I36" s="72"/>
      <c r="J36" s="72"/>
      <c r="K36" s="72"/>
      <c r="L36" s="72"/>
      <c r="M36" s="72"/>
      <c r="N36" s="72"/>
      <c r="O36" s="72"/>
      <c r="P36" s="72"/>
      <c r="Q36" s="72"/>
      <c r="R36" s="72"/>
      <c r="S36" s="72"/>
      <c r="T36" s="97"/>
      <c r="U36" s="97"/>
      <c r="V36" s="268"/>
      <c r="W36" s="131"/>
      <c r="X36" s="73" t="str">
        <f t="shared" si="17"/>
        <v/>
      </c>
      <c r="Y36" s="69"/>
      <c r="Z36" s="268"/>
      <c r="AA36" s="131"/>
      <c r="AB36" s="69" t="str">
        <f t="shared" si="18"/>
        <v/>
      </c>
      <c r="AC36" s="69"/>
      <c r="AD36" s="257"/>
      <c r="AE36" s="131"/>
      <c r="AF36" s="73" t="str">
        <f t="shared" si="19"/>
        <v/>
      </c>
      <c r="AG36" s="258"/>
      <c r="AH36" s="72"/>
      <c r="AI36" s="72"/>
      <c r="AJ36" s="247"/>
      <c r="AK36" s="72"/>
      <c r="AL36" s="72"/>
      <c r="AM36" s="72"/>
      <c r="AN36" s="72"/>
      <c r="AO36" s="247"/>
      <c r="AP36" s="72"/>
      <c r="AQ36" s="72"/>
      <c r="AR36" s="72"/>
      <c r="AS36" s="72"/>
      <c r="AT36" s="72"/>
      <c r="AU36" s="72"/>
      <c r="AV36" s="72"/>
      <c r="AW36" s="72"/>
      <c r="AX36" s="72"/>
      <c r="AY36" s="259"/>
      <c r="AZ36" s="249" t="s">
        <v>200</v>
      </c>
      <c r="BA36" s="249" t="s">
        <v>201</v>
      </c>
      <c r="BG36" s="7">
        <f t="shared" si="20"/>
        <v>0</v>
      </c>
    </row>
    <row r="37" s="6" customFormat="1" ht="116.25" customHeight="1" spans="1:60">
      <c r="A37" s="66" t="s">
        <v>202</v>
      </c>
      <c r="B37" s="76" t="s">
        <v>203</v>
      </c>
      <c r="C37" s="95">
        <v>217.769722309735</v>
      </c>
      <c r="D37" s="95">
        <v>19.2365952743363</v>
      </c>
      <c r="E37" s="95">
        <v>237.006317584071</v>
      </c>
      <c r="F37" s="95">
        <v>105.345235362832</v>
      </c>
      <c r="G37" s="97">
        <f t="shared" si="16"/>
        <v>-0.555517184365924</v>
      </c>
      <c r="H37" s="269" t="s">
        <v>204</v>
      </c>
      <c r="I37" s="72">
        <v>67.586011</v>
      </c>
      <c r="J37" s="72">
        <v>89.2599625044251</v>
      </c>
      <c r="K37" s="72">
        <v>51.1692318053097</v>
      </c>
      <c r="L37" s="72">
        <v>28.9911122743363</v>
      </c>
      <c r="M37" s="72">
        <v>25.9345389292035</v>
      </c>
      <c r="N37" s="72">
        <v>26.0230345044248</v>
      </c>
      <c r="O37" s="72">
        <v>25.0495831769911</v>
      </c>
      <c r="P37" s="72">
        <v>28.3380787522124</v>
      </c>
      <c r="Q37" s="72">
        <v>60.212492</v>
      </c>
      <c r="R37" s="72">
        <v>45.1327433628319</v>
      </c>
      <c r="S37" s="72">
        <v>60</v>
      </c>
      <c r="T37" s="97">
        <v>-0.380586407912735</v>
      </c>
      <c r="U37" s="97">
        <v>0.142248965374188</v>
      </c>
      <c r="V37" s="252" t="s">
        <v>205</v>
      </c>
      <c r="W37" s="118">
        <v>26.666784</v>
      </c>
      <c r="X37" s="73">
        <f t="shared" si="17"/>
        <v>0.253137067928642</v>
      </c>
      <c r="Y37" s="101">
        <v>0.118060325501975</v>
      </c>
      <c r="Z37" s="252" t="s">
        <v>206</v>
      </c>
      <c r="AA37" s="118">
        <v>150.23352</v>
      </c>
      <c r="AB37" s="69">
        <f t="shared" si="18"/>
        <v>1.42610645353407</v>
      </c>
      <c r="AC37" s="101">
        <v>1.09651931496642</v>
      </c>
      <c r="AD37" s="252" t="s">
        <v>207</v>
      </c>
      <c r="AE37" s="72">
        <v>0</v>
      </c>
      <c r="AF37" s="73">
        <f t="shared" si="19"/>
        <v>0</v>
      </c>
      <c r="AG37" s="253"/>
      <c r="AH37" s="137">
        <v>-166.157123262537</v>
      </c>
      <c r="AI37" s="137">
        <v>-436.656143061947</v>
      </c>
      <c r="AJ37" s="270">
        <v>153.375304</v>
      </c>
      <c r="AK37" s="137">
        <v>39.48</v>
      </c>
      <c r="AL37" s="95">
        <v>15.798648</v>
      </c>
      <c r="AM37" s="95">
        <v>0</v>
      </c>
      <c r="AN37" s="95">
        <v>0</v>
      </c>
      <c r="AO37" s="270">
        <v>158.309148</v>
      </c>
      <c r="AP37" s="95">
        <v>46.0914</v>
      </c>
      <c r="AQ37" s="95">
        <v>17.466784</v>
      </c>
      <c r="AR37" s="95">
        <v>60.212492</v>
      </c>
      <c r="AS37" s="95">
        <v>34.538472</v>
      </c>
      <c r="AT37" s="95">
        <v>0</v>
      </c>
      <c r="AU37" s="138">
        <v>-48.21415548</v>
      </c>
      <c r="AV37" s="95">
        <v>0</v>
      </c>
      <c r="AW37" s="138">
        <v>0</v>
      </c>
      <c r="AX37" s="95">
        <v>0</v>
      </c>
      <c r="AY37" s="262" t="s">
        <v>89</v>
      </c>
      <c r="AZ37" s="249" t="s">
        <v>208</v>
      </c>
      <c r="BA37" s="259"/>
      <c r="BG37" s="7">
        <f t="shared" si="20"/>
        <v>105.345235362832</v>
      </c>
      <c r="BH37" s="11" t="s">
        <v>118</v>
      </c>
    </row>
    <row r="38" s="6" customFormat="1" ht="26.4" customHeight="1" spans="1:60">
      <c r="A38" s="66" t="s">
        <v>209</v>
      </c>
      <c r="B38" s="76" t="s">
        <v>210</v>
      </c>
      <c r="C38" s="95">
        <v>0</v>
      </c>
      <c r="D38" s="95">
        <v>0</v>
      </c>
      <c r="E38" s="95">
        <v>0</v>
      </c>
      <c r="F38" s="95">
        <v>0</v>
      </c>
      <c r="G38" s="97" t="str">
        <f t="shared" si="16"/>
        <v/>
      </c>
      <c r="H38" s="252"/>
      <c r="I38" s="72">
        <v>0</v>
      </c>
      <c r="J38" s="72">
        <v>0</v>
      </c>
      <c r="K38" s="72">
        <v>0</v>
      </c>
      <c r="L38" s="72">
        <v>0</v>
      </c>
      <c r="M38" s="72">
        <v>0</v>
      </c>
      <c r="N38" s="72">
        <v>0</v>
      </c>
      <c r="O38" s="72">
        <v>0</v>
      </c>
      <c r="P38" s="72">
        <v>0</v>
      </c>
      <c r="Q38" s="72">
        <v>0</v>
      </c>
      <c r="R38" s="72">
        <v>0</v>
      </c>
      <c r="S38" s="72"/>
      <c r="T38" s="97">
        <v>0</v>
      </c>
      <c r="U38" s="97">
        <v>0</v>
      </c>
      <c r="V38" s="252"/>
      <c r="W38" s="95">
        <v>0</v>
      </c>
      <c r="X38" s="73" t="str">
        <f t="shared" si="17"/>
        <v/>
      </c>
      <c r="Y38" s="101">
        <v>0</v>
      </c>
      <c r="Z38" s="252"/>
      <c r="AA38" s="139">
        <v>0</v>
      </c>
      <c r="AB38" s="69" t="str">
        <f t="shared" si="18"/>
        <v/>
      </c>
      <c r="AC38" s="101">
        <v>0</v>
      </c>
      <c r="AD38" s="252"/>
      <c r="AE38" s="72">
        <v>0</v>
      </c>
      <c r="AF38" s="73" t="str">
        <f t="shared" si="19"/>
        <v/>
      </c>
      <c r="AG38" s="253"/>
      <c r="AH38" s="95">
        <v>-0.03</v>
      </c>
      <c r="AI38" s="95">
        <v>-43.86</v>
      </c>
      <c r="AJ38" s="254">
        <v>0</v>
      </c>
      <c r="AK38" s="95">
        <v>0</v>
      </c>
      <c r="AL38" s="95">
        <v>0</v>
      </c>
      <c r="AM38" s="95">
        <v>0</v>
      </c>
      <c r="AN38" s="95">
        <v>0</v>
      </c>
      <c r="AO38" s="254">
        <v>0</v>
      </c>
      <c r="AP38" s="95">
        <v>0</v>
      </c>
      <c r="AQ38" s="95">
        <v>0</v>
      </c>
      <c r="AR38" s="95">
        <v>0</v>
      </c>
      <c r="AS38" s="95">
        <v>0</v>
      </c>
      <c r="AT38" s="95">
        <v>0</v>
      </c>
      <c r="AU38" s="95">
        <v>0</v>
      </c>
      <c r="AV38" s="95">
        <v>-800</v>
      </c>
      <c r="AW38" s="95">
        <v>800</v>
      </c>
      <c r="AX38" s="95">
        <v>800</v>
      </c>
      <c r="AY38" s="249"/>
      <c r="AZ38" s="249" t="s">
        <v>211</v>
      </c>
      <c r="BA38" s="259"/>
      <c r="BG38" s="7">
        <f t="shared" si="20"/>
        <v>0</v>
      </c>
    </row>
    <row r="39" s="6" customFormat="1" ht="74.25" customHeight="1" spans="1:60">
      <c r="A39" s="66" t="s">
        <v>212</v>
      </c>
      <c r="B39" s="76" t="s">
        <v>213</v>
      </c>
      <c r="C39" s="72">
        <v>0</v>
      </c>
      <c r="D39" s="72">
        <v>0</v>
      </c>
      <c r="E39" s="72">
        <v>0</v>
      </c>
      <c r="F39" s="72">
        <v>0</v>
      </c>
      <c r="G39" s="97" t="str">
        <f t="shared" si="16"/>
        <v/>
      </c>
      <c r="H39" s="257"/>
      <c r="I39" s="72">
        <v>0</v>
      </c>
      <c r="J39" s="72">
        <v>0</v>
      </c>
      <c r="K39" s="72">
        <v>0</v>
      </c>
      <c r="L39" s="72">
        <v>0</v>
      </c>
      <c r="M39" s="72">
        <v>0</v>
      </c>
      <c r="N39" s="72">
        <v>0</v>
      </c>
      <c r="O39" s="72">
        <v>0</v>
      </c>
      <c r="P39" s="72">
        <v>0</v>
      </c>
      <c r="Q39" s="72">
        <v>0</v>
      </c>
      <c r="R39" s="72">
        <v>0</v>
      </c>
      <c r="S39" s="72"/>
      <c r="T39" s="97">
        <v>0</v>
      </c>
      <c r="U39" s="97">
        <v>0</v>
      </c>
      <c r="V39" s="271"/>
      <c r="W39" s="131">
        <v>25.17</v>
      </c>
      <c r="X39" s="73" t="str">
        <f t="shared" si="17"/>
        <v/>
      </c>
      <c r="Y39" s="69">
        <v>0</v>
      </c>
      <c r="Z39" s="252" t="s">
        <v>214</v>
      </c>
      <c r="AA39" s="72">
        <v>202.01</v>
      </c>
      <c r="AB39" s="69" t="str">
        <f t="shared" si="18"/>
        <v/>
      </c>
      <c r="AC39" s="69">
        <v>0</v>
      </c>
      <c r="AD39" s="252" t="s">
        <v>215</v>
      </c>
      <c r="AE39" s="72">
        <v>0</v>
      </c>
      <c r="AF39" s="73" t="str">
        <f t="shared" si="19"/>
        <v/>
      </c>
      <c r="AG39" s="258"/>
      <c r="AH39" s="72">
        <v>-236</v>
      </c>
      <c r="AI39" s="72">
        <v>-217</v>
      </c>
      <c r="AJ39" s="247">
        <v>187</v>
      </c>
      <c r="AK39" s="72">
        <v>1</v>
      </c>
      <c r="AL39" s="72">
        <v>50</v>
      </c>
      <c r="AM39" s="72">
        <v>0</v>
      </c>
      <c r="AN39" s="72">
        <v>10</v>
      </c>
      <c r="AO39" s="247">
        <v>125</v>
      </c>
      <c r="AP39" s="72">
        <v>0</v>
      </c>
      <c r="AQ39" s="72">
        <v>15</v>
      </c>
      <c r="AR39" s="72">
        <v>0</v>
      </c>
      <c r="AS39" s="72">
        <v>110</v>
      </c>
      <c r="AT39" s="72">
        <v>0</v>
      </c>
      <c r="AU39" s="72">
        <v>-168</v>
      </c>
      <c r="AV39" s="72">
        <v>99</v>
      </c>
      <c r="AW39" s="72">
        <v>0</v>
      </c>
      <c r="AX39" s="72">
        <v>3300</v>
      </c>
      <c r="AY39" s="259"/>
      <c r="AZ39" s="249" t="s">
        <v>216</v>
      </c>
      <c r="BA39" s="249" t="s">
        <v>217</v>
      </c>
      <c r="BG39" s="7">
        <f t="shared" si="20"/>
        <v>0</v>
      </c>
    </row>
    <row r="40" s="6" customFormat="1" ht="141" customHeight="1" spans="1:60">
      <c r="A40" s="66" t="s">
        <v>218</v>
      </c>
      <c r="B40" s="76" t="s">
        <v>219</v>
      </c>
      <c r="C40" s="72">
        <v>154</v>
      </c>
      <c r="D40" s="72">
        <v>47</v>
      </c>
      <c r="E40" s="72">
        <v>201</v>
      </c>
      <c r="F40" s="72">
        <v>265</v>
      </c>
      <c r="G40" s="97">
        <f t="shared" si="16"/>
        <v>0.318407960199005</v>
      </c>
      <c r="H40" s="252" t="s">
        <v>220</v>
      </c>
      <c r="I40" s="72">
        <v>35.61</v>
      </c>
      <c r="J40" s="72">
        <v>71.72</v>
      </c>
      <c r="K40" s="72">
        <v>35.37</v>
      </c>
      <c r="L40" s="72">
        <v>57.83</v>
      </c>
      <c r="M40" s="72">
        <v>37.15</v>
      </c>
      <c r="N40" s="72">
        <v>91.15</v>
      </c>
      <c r="O40" s="72">
        <v>70.78</v>
      </c>
      <c r="P40" s="72">
        <v>66.37</v>
      </c>
      <c r="Q40" s="72">
        <v>176.98</v>
      </c>
      <c r="R40" s="72">
        <v>88.47</v>
      </c>
      <c r="S40" s="72"/>
      <c r="T40" s="97">
        <v>0.1048</v>
      </c>
      <c r="U40" s="97">
        <v>0.2</v>
      </c>
      <c r="V40" s="252" t="s">
        <v>221</v>
      </c>
      <c r="W40" s="131">
        <v>67.6</v>
      </c>
      <c r="X40" s="73">
        <f t="shared" si="17"/>
        <v>0.255094339622641</v>
      </c>
      <c r="Y40" s="69">
        <v>0.308</v>
      </c>
      <c r="Z40" s="252" t="s">
        <v>222</v>
      </c>
      <c r="AA40" s="72">
        <v>276.19</v>
      </c>
      <c r="AB40" s="69">
        <f t="shared" si="18"/>
        <v>1.04222641509434</v>
      </c>
      <c r="AC40" s="69">
        <v>1.3793</v>
      </c>
      <c r="AD40" s="252" t="s">
        <v>223</v>
      </c>
      <c r="AE40" s="72">
        <v>0</v>
      </c>
      <c r="AF40" s="73">
        <f t="shared" si="19"/>
        <v>0</v>
      </c>
      <c r="AG40" s="258"/>
      <c r="AH40" s="72">
        <v>-292</v>
      </c>
      <c r="AI40" s="72">
        <v>-318</v>
      </c>
      <c r="AJ40" s="247">
        <v>342</v>
      </c>
      <c r="AK40" s="72">
        <v>39</v>
      </c>
      <c r="AL40" s="72">
        <v>0</v>
      </c>
      <c r="AM40" s="72">
        <v>0</v>
      </c>
      <c r="AN40" s="72">
        <v>18</v>
      </c>
      <c r="AO40" s="247">
        <v>289</v>
      </c>
      <c r="AP40" s="72">
        <v>118</v>
      </c>
      <c r="AQ40" s="72">
        <v>0</v>
      </c>
      <c r="AR40" s="72">
        <v>0</v>
      </c>
      <c r="AS40" s="72">
        <v>171</v>
      </c>
      <c r="AT40" s="72">
        <v>0</v>
      </c>
      <c r="AU40" s="72">
        <v>-285</v>
      </c>
      <c r="AV40" s="72">
        <v>-10</v>
      </c>
      <c r="AW40" s="72">
        <v>0</v>
      </c>
      <c r="AX40" s="72">
        <v>300</v>
      </c>
      <c r="AY40" s="259"/>
      <c r="AZ40" s="249" t="s">
        <v>224</v>
      </c>
      <c r="BA40" s="249"/>
      <c r="BF40" s="6">
        <v>300</v>
      </c>
      <c r="BG40" s="7">
        <f t="shared" si="20"/>
        <v>-35</v>
      </c>
    </row>
    <row r="41" s="6" customFormat="1" ht="115.5" spans="1:60">
      <c r="A41" s="66" t="s">
        <v>225</v>
      </c>
      <c r="B41" s="76" t="s">
        <v>226</v>
      </c>
      <c r="C41" s="95">
        <v>719.28</v>
      </c>
      <c r="D41" s="95">
        <v>134.109990926399</v>
      </c>
      <c r="E41" s="95">
        <v>853.389990926399</v>
      </c>
      <c r="F41" s="95">
        <v>1186.50478374192</v>
      </c>
      <c r="G41" s="97">
        <f t="shared" si="16"/>
        <v>0.390342980767688</v>
      </c>
      <c r="H41" s="252" t="s">
        <v>227</v>
      </c>
      <c r="I41" s="72">
        <v>166.27</v>
      </c>
      <c r="J41" s="72">
        <v>209.21</v>
      </c>
      <c r="K41" s="72">
        <v>264.74</v>
      </c>
      <c r="L41" s="72">
        <v>213.169990926399</v>
      </c>
      <c r="M41" s="72">
        <v>244.893925641024</v>
      </c>
      <c r="N41" s="72">
        <v>285.023091666571</v>
      </c>
      <c r="O41" s="72">
        <v>243.704784083167</v>
      </c>
      <c r="P41" s="72">
        <v>412.88298235116</v>
      </c>
      <c r="Q41" s="72">
        <v>329.105877667672</v>
      </c>
      <c r="R41" s="72">
        <v>857.398906074249</v>
      </c>
      <c r="S41" s="72">
        <v>388</v>
      </c>
      <c r="T41" s="97">
        <v>0.495186415307592</v>
      </c>
      <c r="U41" s="97">
        <v>0.524882070594476</v>
      </c>
      <c r="V41" s="252"/>
      <c r="W41" s="115">
        <v>195.5344</v>
      </c>
      <c r="X41" s="73">
        <f t="shared" si="17"/>
        <v>0.164798661311197</v>
      </c>
      <c r="Y41" s="101">
        <v>0.158609547146275</v>
      </c>
      <c r="Z41" s="252" t="s">
        <v>228</v>
      </c>
      <c r="AA41" s="72">
        <v>1482.852425</v>
      </c>
      <c r="AB41" s="69">
        <f t="shared" si="18"/>
        <v>1.24976523088552</v>
      </c>
      <c r="AC41" s="101">
        <v>1.45996811100103</v>
      </c>
      <c r="AD41" s="252" t="s">
        <v>229</v>
      </c>
      <c r="AE41" s="95">
        <v>0</v>
      </c>
      <c r="AF41" s="73">
        <f t="shared" si="19"/>
        <v>0</v>
      </c>
      <c r="AG41" s="253"/>
      <c r="AH41" s="95">
        <v>-1170.35173733929</v>
      </c>
      <c r="AI41" s="95">
        <v>-1113.05084253378</v>
      </c>
      <c r="AJ41" s="254">
        <v>2469.283964</v>
      </c>
      <c r="AK41" s="95">
        <v>1335.36</v>
      </c>
      <c r="AL41" s="95">
        <v>0.96</v>
      </c>
      <c r="AM41" s="95">
        <v>150.96</v>
      </c>
      <c r="AN41" s="95">
        <v>142.32</v>
      </c>
      <c r="AO41" s="254">
        <v>419.811564</v>
      </c>
      <c r="AP41" s="95">
        <v>0</v>
      </c>
      <c r="AQ41" s="272">
        <v>10.885152</v>
      </c>
      <c r="AR41" s="95">
        <v>0</v>
      </c>
      <c r="AS41" s="272">
        <v>408.926412</v>
      </c>
      <c r="AT41" s="95">
        <v>0</v>
      </c>
      <c r="AU41" s="273">
        <v>-409.646825</v>
      </c>
      <c r="AV41" s="272">
        <v>-52.8</v>
      </c>
      <c r="AW41" s="272">
        <v>0</v>
      </c>
      <c r="AX41" s="95">
        <v>180</v>
      </c>
      <c r="AY41" s="262"/>
      <c r="AZ41" s="262" t="s">
        <v>230</v>
      </c>
      <c r="BA41" s="249"/>
      <c r="BF41" s="6">
        <v>680</v>
      </c>
      <c r="BG41" s="7">
        <f t="shared" si="20"/>
        <v>506.50478374192</v>
      </c>
    </row>
    <row r="42" s="6" customFormat="1" ht="157.5" customHeight="1" spans="1:60">
      <c r="A42" s="66" t="s">
        <v>231</v>
      </c>
      <c r="B42" s="76" t="s">
        <v>232</v>
      </c>
      <c r="C42" s="72">
        <v>267.49</v>
      </c>
      <c r="D42" s="72">
        <v>14.81</v>
      </c>
      <c r="E42" s="72">
        <f>C42+D42</f>
        <v>282.3</v>
      </c>
      <c r="F42" s="72">
        <v>2126</v>
      </c>
      <c r="G42" s="97">
        <f t="shared" si="16"/>
        <v>6.53099539496989</v>
      </c>
      <c r="H42" s="252" t="s">
        <v>233</v>
      </c>
      <c r="I42" s="72">
        <v>63.368326</v>
      </c>
      <c r="J42" s="72">
        <v>75.192326</v>
      </c>
      <c r="K42" s="72">
        <v>96.509341</v>
      </c>
      <c r="L42" s="72">
        <v>47.242017</v>
      </c>
      <c r="M42" s="72">
        <v>282.960334</v>
      </c>
      <c r="N42" s="72">
        <v>459.985334</v>
      </c>
      <c r="O42" s="72">
        <v>665.500334</v>
      </c>
      <c r="P42" s="72">
        <v>717.660334</v>
      </c>
      <c r="Q42" s="72">
        <v>1931.71</v>
      </c>
      <c r="R42" s="72">
        <v>194.4</v>
      </c>
      <c r="S42" s="72">
        <v>492</v>
      </c>
      <c r="T42" s="97">
        <v>0.0176</v>
      </c>
      <c r="U42" s="97">
        <v>0.0808</v>
      </c>
      <c r="V42" s="252" t="s">
        <v>234</v>
      </c>
      <c r="W42" s="131">
        <v>0</v>
      </c>
      <c r="X42" s="73">
        <f t="shared" si="17"/>
        <v>0</v>
      </c>
      <c r="Y42" s="69">
        <v>0.0197</v>
      </c>
      <c r="Z42" s="252" t="s">
        <v>235</v>
      </c>
      <c r="AA42" s="72">
        <v>1299</v>
      </c>
      <c r="AB42" s="69">
        <f t="shared" si="18"/>
        <v>0.611006585136406</v>
      </c>
      <c r="AC42" s="69">
        <v>2.44</v>
      </c>
      <c r="AD42" s="252" t="s">
        <v>236</v>
      </c>
      <c r="AE42" s="72">
        <v>236</v>
      </c>
      <c r="AF42" s="73">
        <f t="shared" si="19"/>
        <v>0.111006585136406</v>
      </c>
      <c r="AG42" s="253" t="s">
        <v>237</v>
      </c>
      <c r="AH42" s="72">
        <v>-1499.56</v>
      </c>
      <c r="AI42" s="72">
        <v>-963.55</v>
      </c>
      <c r="AJ42" s="247">
        <f>SUM(AK42:AT42)</f>
        <v>1286.37</v>
      </c>
      <c r="AK42" s="72">
        <v>1032.25</v>
      </c>
      <c r="AL42" s="72">
        <v>33.35</v>
      </c>
      <c r="AM42" s="72">
        <v>36.34</v>
      </c>
      <c r="AN42" s="72">
        <v>0.72</v>
      </c>
      <c r="AO42" s="247"/>
      <c r="AP42" s="72"/>
      <c r="AQ42" s="72"/>
      <c r="AR42" s="72">
        <v>115.44</v>
      </c>
      <c r="AS42" s="72">
        <v>68.27</v>
      </c>
      <c r="AT42" s="72"/>
      <c r="AU42" s="72">
        <v>-133.76</v>
      </c>
      <c r="AV42" s="72">
        <v>-3924</v>
      </c>
      <c r="AW42" s="72">
        <v>4000</v>
      </c>
      <c r="AX42" s="72">
        <v>4000</v>
      </c>
      <c r="AY42" s="248"/>
      <c r="AZ42" s="249" t="s">
        <v>238</v>
      </c>
      <c r="BA42" s="249"/>
      <c r="BG42" s="7">
        <f t="shared" si="20"/>
        <v>2126</v>
      </c>
    </row>
    <row r="43" s="211" customFormat="1" ht="104.1" customHeight="1" spans="1:60">
      <c r="A43" s="229" t="s">
        <v>239</v>
      </c>
      <c r="B43" s="230" t="s">
        <v>240</v>
      </c>
      <c r="C43" s="231">
        <v>4338</v>
      </c>
      <c r="D43" s="231">
        <f>E43-C43</f>
        <v>553.96</v>
      </c>
      <c r="E43" s="231">
        <v>4891.96</v>
      </c>
      <c r="F43" s="231">
        <v>8730.25</v>
      </c>
      <c r="G43" s="232">
        <f t="shared" si="16"/>
        <v>0.784611893801258</v>
      </c>
      <c r="H43" s="233" t="s">
        <v>241</v>
      </c>
      <c r="I43" s="231">
        <v>1198</v>
      </c>
      <c r="J43" s="231">
        <v>1069</v>
      </c>
      <c r="K43" s="231">
        <v>1722</v>
      </c>
      <c r="L43" s="231">
        <f>E43-I43-J43-K43</f>
        <v>902.96</v>
      </c>
      <c r="M43" s="231">
        <v>4012.97</v>
      </c>
      <c r="N43" s="231">
        <v>1512.12</v>
      </c>
      <c r="O43" s="231">
        <v>1526.32</v>
      </c>
      <c r="P43" s="231">
        <v>1678.83</v>
      </c>
      <c r="Q43" s="231">
        <v>0</v>
      </c>
      <c r="R43" s="231">
        <f>F43</f>
        <v>8730.25</v>
      </c>
      <c r="S43" s="231"/>
      <c r="T43" s="232">
        <v>0.45</v>
      </c>
      <c r="U43" s="232">
        <v>0.445</v>
      </c>
      <c r="V43" s="233" t="s">
        <v>242</v>
      </c>
      <c r="W43" s="231">
        <v>935.83</v>
      </c>
      <c r="X43" s="234">
        <f t="shared" si="17"/>
        <v>0.107193952063228</v>
      </c>
      <c r="Y43" s="236">
        <v>0.17</v>
      </c>
      <c r="Z43" s="233" t="s">
        <v>243</v>
      </c>
      <c r="AA43" s="231">
        <v>2709.33</v>
      </c>
      <c r="AB43" s="236">
        <f t="shared" si="18"/>
        <v>0.310338191918903</v>
      </c>
      <c r="AC43" s="236">
        <v>0.64</v>
      </c>
      <c r="AD43" s="233" t="s">
        <v>244</v>
      </c>
      <c r="AE43" s="231">
        <v>111.42</v>
      </c>
      <c r="AF43" s="234">
        <f t="shared" si="19"/>
        <v>0.0127625211190974</v>
      </c>
      <c r="AG43" s="237" t="s">
        <v>245</v>
      </c>
      <c r="AH43" s="231">
        <v>-700</v>
      </c>
      <c r="AI43" s="231">
        <v>-2534.76</v>
      </c>
      <c r="AJ43" s="231">
        <f>AK43+AL43+AM43+AN43+AO43</f>
        <v>3107</v>
      </c>
      <c r="AK43" s="231">
        <v>415</v>
      </c>
      <c r="AL43" s="231">
        <v>17</v>
      </c>
      <c r="AM43" s="231">
        <v>57</v>
      </c>
      <c r="AN43" s="231"/>
      <c r="AO43" s="231">
        <f>SUM(AP43:AS43)</f>
        <v>2618</v>
      </c>
      <c r="AP43" s="231">
        <v>750</v>
      </c>
      <c r="AQ43" s="231">
        <v>198</v>
      </c>
      <c r="AR43" s="231">
        <v>105</v>
      </c>
      <c r="AS43" s="231">
        <v>1565</v>
      </c>
      <c r="AT43" s="231"/>
      <c r="AU43" s="231"/>
      <c r="AV43" s="231"/>
      <c r="AW43" s="231"/>
      <c r="AX43" s="231">
        <v>480</v>
      </c>
      <c r="AY43" s="238" t="s">
        <v>246</v>
      </c>
      <c r="AZ43" s="238" t="s">
        <v>247</v>
      </c>
      <c r="BA43" s="241"/>
      <c r="BD43" s="239" t="s">
        <v>70</v>
      </c>
      <c r="BG43" s="274">
        <f t="shared" si="20"/>
        <v>8730.25</v>
      </c>
    </row>
    <row r="44" s="6" customFormat="1" ht="89.25" customHeight="1" spans="1:60">
      <c r="A44" s="66" t="s">
        <v>248</v>
      </c>
      <c r="B44" s="76" t="s">
        <v>249</v>
      </c>
      <c r="C44" s="95">
        <v>0</v>
      </c>
      <c r="D44" s="95">
        <v>0</v>
      </c>
      <c r="E44" s="95">
        <v>0</v>
      </c>
      <c r="F44" s="95">
        <v>39</v>
      </c>
      <c r="G44" s="97" t="str">
        <f t="shared" si="16"/>
        <v/>
      </c>
      <c r="H44" s="252" t="s">
        <v>250</v>
      </c>
      <c r="I44" s="72">
        <v>0</v>
      </c>
      <c r="J44" s="72">
        <v>0</v>
      </c>
      <c r="K44" s="72">
        <v>0</v>
      </c>
      <c r="L44" s="72">
        <v>0</v>
      </c>
      <c r="M44" s="72">
        <v>0</v>
      </c>
      <c r="N44" s="72">
        <v>0</v>
      </c>
      <c r="O44" s="72">
        <v>0</v>
      </c>
      <c r="P44" s="72">
        <v>39</v>
      </c>
      <c r="Q44" s="72">
        <v>39</v>
      </c>
      <c r="R44" s="72">
        <v>0</v>
      </c>
      <c r="S44" s="72">
        <v>39</v>
      </c>
      <c r="T44" s="97">
        <v>0</v>
      </c>
      <c r="U44" s="97">
        <v>1</v>
      </c>
      <c r="V44" s="252"/>
      <c r="W44" s="95">
        <v>0</v>
      </c>
      <c r="X44" s="73">
        <f t="shared" si="17"/>
        <v>0</v>
      </c>
      <c r="Y44" s="101">
        <v>0</v>
      </c>
      <c r="Z44" s="252"/>
      <c r="AA44" s="95">
        <v>97.44</v>
      </c>
      <c r="AB44" s="69">
        <f t="shared" si="18"/>
        <v>2.49846153846154</v>
      </c>
      <c r="AC44" s="101">
        <v>0</v>
      </c>
      <c r="AD44" s="252" t="s">
        <v>251</v>
      </c>
      <c r="AE44" s="95">
        <v>0</v>
      </c>
      <c r="AF44" s="73">
        <f t="shared" si="19"/>
        <v>0</v>
      </c>
      <c r="AG44" s="253"/>
      <c r="AH44" s="96">
        <v>-66.44</v>
      </c>
      <c r="AI44" s="96">
        <v>-127.86</v>
      </c>
      <c r="AJ44" s="270">
        <v>97.44</v>
      </c>
      <c r="AK44" s="137">
        <v>75.36</v>
      </c>
      <c r="AL44" s="95">
        <v>0</v>
      </c>
      <c r="AM44" s="137">
        <v>22.08</v>
      </c>
      <c r="AN44" s="95">
        <v>0</v>
      </c>
      <c r="AO44" s="254">
        <v>0</v>
      </c>
      <c r="AP44" s="95">
        <v>0</v>
      </c>
      <c r="AQ44" s="95">
        <v>0</v>
      </c>
      <c r="AR44" s="95">
        <v>0</v>
      </c>
      <c r="AS44" s="95">
        <v>0</v>
      </c>
      <c r="AT44" s="95">
        <v>0</v>
      </c>
      <c r="AU44" s="95">
        <v>34</v>
      </c>
      <c r="AV44" s="95">
        <v>0</v>
      </c>
      <c r="AW44" s="95">
        <v>0</v>
      </c>
      <c r="AX44" s="95">
        <v>0</v>
      </c>
      <c r="AY44" s="262" t="s">
        <v>89</v>
      </c>
      <c r="AZ44" s="249" t="s">
        <v>252</v>
      </c>
      <c r="BA44" s="259"/>
      <c r="BG44" s="7">
        <f t="shared" si="20"/>
        <v>39</v>
      </c>
    </row>
    <row r="45" s="6" customFormat="1" ht="76.5" customHeight="1" spans="1:60">
      <c r="A45" s="66" t="s">
        <v>253</v>
      </c>
      <c r="B45" s="76" t="s">
        <v>254</v>
      </c>
      <c r="C45" s="95">
        <v>221.35</v>
      </c>
      <c r="D45" s="95">
        <v>56.21</v>
      </c>
      <c r="E45" s="95">
        <v>277.56</v>
      </c>
      <c r="F45" s="95">
        <v>215.91</v>
      </c>
      <c r="G45" s="97">
        <f t="shared" si="16"/>
        <v>-0.222114137483787</v>
      </c>
      <c r="H45" s="252" t="s">
        <v>255</v>
      </c>
      <c r="I45" s="72">
        <v>61.18</v>
      </c>
      <c r="J45" s="72">
        <v>83.84</v>
      </c>
      <c r="K45" s="72">
        <v>58.34</v>
      </c>
      <c r="L45" s="72">
        <v>74.2</v>
      </c>
      <c r="M45" s="72">
        <v>52.34</v>
      </c>
      <c r="N45" s="72">
        <v>50.37</v>
      </c>
      <c r="O45" s="72">
        <v>50.37</v>
      </c>
      <c r="P45" s="72">
        <v>62.83</v>
      </c>
      <c r="Q45" s="72">
        <v>215.91</v>
      </c>
      <c r="R45" s="72">
        <v>0</v>
      </c>
      <c r="S45" s="72">
        <v>216</v>
      </c>
      <c r="T45" s="97">
        <v>0.0108084738434933</v>
      </c>
      <c r="U45" s="97">
        <v>0</v>
      </c>
      <c r="V45" s="252"/>
      <c r="W45" s="95">
        <v>0</v>
      </c>
      <c r="X45" s="73">
        <f t="shared" si="17"/>
        <v>0</v>
      </c>
      <c r="Y45" s="101">
        <v>0.0450713359273671</v>
      </c>
      <c r="Z45" s="252"/>
      <c r="AA45" s="275">
        <v>1.21</v>
      </c>
      <c r="AB45" s="69">
        <f t="shared" si="18"/>
        <v>0.00560418692973924</v>
      </c>
      <c r="AC45" s="101">
        <v>0.295287505404237</v>
      </c>
      <c r="AD45" s="252" t="s">
        <v>256</v>
      </c>
      <c r="AE45" s="72">
        <v>162.64</v>
      </c>
      <c r="AF45" s="73">
        <f t="shared" si="19"/>
        <v>0.753276828308091</v>
      </c>
      <c r="AG45" s="253" t="s">
        <v>257</v>
      </c>
      <c r="AH45" s="95">
        <v>-166.7</v>
      </c>
      <c r="AI45" s="95">
        <v>-122.67</v>
      </c>
      <c r="AJ45" s="270">
        <v>266.92</v>
      </c>
      <c r="AK45" s="95">
        <v>0.61</v>
      </c>
      <c r="AL45" s="95">
        <v>0</v>
      </c>
      <c r="AM45" s="95">
        <v>0</v>
      </c>
      <c r="AN45" s="95">
        <v>50.4</v>
      </c>
      <c r="AO45" s="254">
        <v>215.91</v>
      </c>
      <c r="AP45" s="95">
        <v>0</v>
      </c>
      <c r="AQ45" s="95">
        <v>0</v>
      </c>
      <c r="AR45" s="95">
        <v>176.98</v>
      </c>
      <c r="AS45" s="95">
        <v>38.93</v>
      </c>
      <c r="AT45" s="95">
        <v>0</v>
      </c>
      <c r="AU45" s="95">
        <v>-163.86</v>
      </c>
      <c r="AV45" s="95">
        <v>0</v>
      </c>
      <c r="AW45" s="95">
        <v>0</v>
      </c>
      <c r="AX45" s="95"/>
      <c r="AY45" s="276"/>
      <c r="AZ45" s="249" t="s">
        <v>258</v>
      </c>
      <c r="BA45" s="259"/>
      <c r="BG45" s="7">
        <f t="shared" si="20"/>
        <v>215.91</v>
      </c>
    </row>
    <row r="46" s="6" customFormat="1" ht="168.75" customHeight="1" spans="1:60">
      <c r="A46" s="66" t="s">
        <v>259</v>
      </c>
      <c r="B46" s="76" t="s">
        <v>260</v>
      </c>
      <c r="C46" s="95">
        <v>93.2734905660377</v>
      </c>
      <c r="D46" s="95">
        <v>35.8490566037736</v>
      </c>
      <c r="E46" s="95">
        <v>129.122547169811</v>
      </c>
      <c r="F46" s="96">
        <v>809.433962264151</v>
      </c>
      <c r="G46" s="97">
        <f t="shared" si="16"/>
        <v>5.26872672516019</v>
      </c>
      <c r="H46" s="252" t="s">
        <v>261</v>
      </c>
      <c r="I46" s="72">
        <v>3.00943396226415</v>
      </c>
      <c r="J46" s="72">
        <v>16.5122641509434</v>
      </c>
      <c r="K46" s="72">
        <v>33.092358490566</v>
      </c>
      <c r="L46" s="72">
        <v>76.5084905660377</v>
      </c>
      <c r="M46" s="72">
        <v>97.1698113207547</v>
      </c>
      <c r="N46" s="72">
        <v>210.377358490566</v>
      </c>
      <c r="O46" s="72">
        <v>216.981132075472</v>
      </c>
      <c r="P46" s="72">
        <v>284.905660377358</v>
      </c>
      <c r="Q46" s="72">
        <v>0</v>
      </c>
      <c r="R46" s="72">
        <v>809.433962264151</v>
      </c>
      <c r="S46" s="72"/>
      <c r="T46" s="97">
        <v>-0.989174916617899</v>
      </c>
      <c r="U46" s="97">
        <v>0.45944618041958</v>
      </c>
      <c r="V46" s="252" t="s">
        <v>262</v>
      </c>
      <c r="W46" s="139">
        <v>15.85</v>
      </c>
      <c r="X46" s="73">
        <f t="shared" si="17"/>
        <v>0.0195815850815851</v>
      </c>
      <c r="Y46" s="101">
        <v>0.0530503784981212</v>
      </c>
      <c r="Z46" s="252" t="s">
        <v>263</v>
      </c>
      <c r="AA46" s="118">
        <v>349.656116</v>
      </c>
      <c r="AB46" s="69">
        <f t="shared" si="18"/>
        <v>0.431976087365967</v>
      </c>
      <c r="AC46" s="101">
        <v>3.30436237010475</v>
      </c>
      <c r="AD46" s="252" t="s">
        <v>264</v>
      </c>
      <c r="AE46" s="95">
        <v>0</v>
      </c>
      <c r="AF46" s="73">
        <f t="shared" si="19"/>
        <v>0</v>
      </c>
      <c r="AG46" s="253"/>
      <c r="AH46" s="138">
        <v>2.34522626415095</v>
      </c>
      <c r="AI46" s="138">
        <v>-545.328534830189</v>
      </c>
      <c r="AJ46" s="270">
        <v>586.208736</v>
      </c>
      <c r="AK46" s="95">
        <v>24</v>
      </c>
      <c r="AL46" s="137">
        <v>1.08</v>
      </c>
      <c r="AM46" s="137">
        <v>0</v>
      </c>
      <c r="AN46" s="137">
        <v>73.4</v>
      </c>
      <c r="AO46" s="270">
        <v>487.728736</v>
      </c>
      <c r="AP46" s="95">
        <v>384.52262</v>
      </c>
      <c r="AQ46" s="95">
        <v>0</v>
      </c>
      <c r="AR46" s="95">
        <v>0</v>
      </c>
      <c r="AS46" s="95">
        <v>103.206116</v>
      </c>
      <c r="AT46" s="95">
        <v>0</v>
      </c>
      <c r="AU46" s="138">
        <v>-340.426136</v>
      </c>
      <c r="AV46" s="138">
        <v>0</v>
      </c>
      <c r="AW46" s="138">
        <v>0</v>
      </c>
      <c r="AX46" s="138">
        <v>300</v>
      </c>
      <c r="AY46" s="276" t="s">
        <v>265</v>
      </c>
      <c r="AZ46" s="249" t="s">
        <v>266</v>
      </c>
      <c r="BA46" s="249"/>
      <c r="BF46" s="6">
        <v>858</v>
      </c>
      <c r="BG46" s="7">
        <f t="shared" si="20"/>
        <v>-48.566037735849</v>
      </c>
    </row>
    <row r="47" s="6" customFormat="1" ht="148.65" customHeight="1" spans="1:60">
      <c r="A47" s="66" t="s">
        <v>267</v>
      </c>
      <c r="B47" s="76" t="s">
        <v>268</v>
      </c>
      <c r="C47" s="72">
        <v>21</v>
      </c>
      <c r="D47" s="72">
        <v>46</v>
      </c>
      <c r="E47" s="72">
        <v>67</v>
      </c>
      <c r="F47" s="72">
        <v>1789</v>
      </c>
      <c r="G47" s="97">
        <f t="shared" si="16"/>
        <v>25.7014925373134</v>
      </c>
      <c r="H47" s="252" t="s">
        <v>269</v>
      </c>
      <c r="I47" s="72">
        <v>3.597094</v>
      </c>
      <c r="J47" s="72">
        <v>5.324025</v>
      </c>
      <c r="K47" s="72">
        <v>9.571803</v>
      </c>
      <c r="L47" s="72">
        <v>48.5389753715955</v>
      </c>
      <c r="M47" s="72">
        <v>182.009111955108</v>
      </c>
      <c r="N47" s="72">
        <v>480.708870823229</v>
      </c>
      <c r="O47" s="72">
        <v>498.285755640251</v>
      </c>
      <c r="P47" s="72">
        <v>628.728460726204</v>
      </c>
      <c r="Q47" s="72">
        <v>64.55</v>
      </c>
      <c r="R47" s="72">
        <v>1725.18</v>
      </c>
      <c r="S47" s="72">
        <v>254</v>
      </c>
      <c r="T47" s="97">
        <v>-0.044</v>
      </c>
      <c r="U47" s="97">
        <v>0.29</v>
      </c>
      <c r="V47" s="252" t="s">
        <v>270</v>
      </c>
      <c r="W47" s="131">
        <v>237</v>
      </c>
      <c r="X47" s="73">
        <f t="shared" si="17"/>
        <v>0.132476243711571</v>
      </c>
      <c r="Y47" s="69">
        <v>0.94</v>
      </c>
      <c r="Z47" s="252" t="s">
        <v>271</v>
      </c>
      <c r="AA47" s="72">
        <v>613.78</v>
      </c>
      <c r="AB47" s="69">
        <f t="shared" si="18"/>
        <v>0.343085522638345</v>
      </c>
      <c r="AC47" s="69">
        <v>4.85</v>
      </c>
      <c r="AD47" s="252" t="s">
        <v>272</v>
      </c>
      <c r="AE47" s="72">
        <v>14.26</v>
      </c>
      <c r="AF47" s="73">
        <f t="shared" si="19"/>
        <v>0.0079709334823924</v>
      </c>
      <c r="AG47" s="253" t="s">
        <v>273</v>
      </c>
      <c r="AH47" s="72">
        <v>-576</v>
      </c>
      <c r="AI47" s="72">
        <v>-423</v>
      </c>
      <c r="AJ47" s="247">
        <f>SUM(AK47:AO47)</f>
        <v>821.22</v>
      </c>
      <c r="AK47" s="72">
        <v>407.28</v>
      </c>
      <c r="AL47" s="72">
        <v>94.52</v>
      </c>
      <c r="AM47" s="72">
        <v>0.33</v>
      </c>
      <c r="AN47" s="72">
        <v>0</v>
      </c>
      <c r="AO47" s="247">
        <f>SUM(AP47:AT47)</f>
        <v>319.09</v>
      </c>
      <c r="AP47" s="72">
        <v>5.88</v>
      </c>
      <c r="AQ47" s="72">
        <v>214.82</v>
      </c>
      <c r="AR47" s="72">
        <v>42.56</v>
      </c>
      <c r="AS47" s="72">
        <v>55.83</v>
      </c>
      <c r="AT47" s="72"/>
      <c r="AU47" s="72">
        <v>-109</v>
      </c>
      <c r="AV47" s="72">
        <v>-15774</v>
      </c>
      <c r="AW47" s="72">
        <v>-15963</v>
      </c>
      <c r="AX47" s="95">
        <v>16194</v>
      </c>
      <c r="AY47" s="259"/>
      <c r="AZ47" s="249" t="s">
        <v>274</v>
      </c>
      <c r="BA47" s="259"/>
      <c r="BG47" s="7">
        <f t="shared" si="20"/>
        <v>1789</v>
      </c>
    </row>
    <row r="48" s="6" customFormat="1" ht="26.4" customHeight="1" spans="1:60">
      <c r="A48" s="66" t="s">
        <v>275</v>
      </c>
      <c r="B48" s="76" t="s">
        <v>276</v>
      </c>
      <c r="C48" s="72"/>
      <c r="D48" s="72"/>
      <c r="E48" s="72"/>
      <c r="F48" s="72"/>
      <c r="G48" s="97" t="str">
        <f t="shared" si="16"/>
        <v/>
      </c>
      <c r="H48" s="257"/>
      <c r="I48" s="72"/>
      <c r="J48" s="72"/>
      <c r="K48" s="72"/>
      <c r="L48" s="72"/>
      <c r="M48" s="72"/>
      <c r="N48" s="72"/>
      <c r="O48" s="72"/>
      <c r="P48" s="72"/>
      <c r="Q48" s="72"/>
      <c r="R48" s="72"/>
      <c r="S48" s="72"/>
      <c r="T48" s="97"/>
      <c r="U48" s="97"/>
      <c r="V48" s="257"/>
      <c r="W48" s="72"/>
      <c r="X48" s="73" t="str">
        <f t="shared" si="17"/>
        <v/>
      </c>
      <c r="Y48" s="69"/>
      <c r="Z48" s="257"/>
      <c r="AA48" s="72"/>
      <c r="AB48" s="69" t="str">
        <f t="shared" si="18"/>
        <v/>
      </c>
      <c r="AC48" s="69"/>
      <c r="AD48" s="257"/>
      <c r="AE48" s="72"/>
      <c r="AF48" s="73" t="str">
        <f t="shared" si="19"/>
        <v/>
      </c>
      <c r="AG48" s="258"/>
      <c r="AH48" s="72"/>
      <c r="AI48" s="72"/>
      <c r="AJ48" s="247"/>
      <c r="AK48" s="72"/>
      <c r="AL48" s="72"/>
      <c r="AM48" s="72"/>
      <c r="AN48" s="72"/>
      <c r="AO48" s="247"/>
      <c r="AP48" s="72"/>
      <c r="AQ48" s="72"/>
      <c r="AR48" s="72"/>
      <c r="AS48" s="72"/>
      <c r="AT48" s="72"/>
      <c r="AU48" s="72"/>
      <c r="AV48" s="72"/>
      <c r="AW48" s="72"/>
      <c r="AX48" s="72"/>
      <c r="AY48" s="259"/>
      <c r="AZ48" s="259"/>
      <c r="BA48" s="259"/>
      <c r="BG48" s="7">
        <f t="shared" si="20"/>
        <v>0</v>
      </c>
    </row>
    <row r="49" s="6" customFormat="1" ht="66.75" customHeight="1" spans="1:61">
      <c r="A49" s="66" t="s">
        <v>277</v>
      </c>
      <c r="B49" s="152" t="s">
        <v>278</v>
      </c>
      <c r="C49" s="153">
        <v>393</v>
      </c>
      <c r="D49" s="153">
        <v>76</v>
      </c>
      <c r="E49" s="153">
        <v>469</v>
      </c>
      <c r="F49" s="277">
        <v>450</v>
      </c>
      <c r="G49" s="97">
        <f t="shared" si="16"/>
        <v>-0.0405117270788913</v>
      </c>
      <c r="H49" s="278" t="s">
        <v>181</v>
      </c>
      <c r="I49" s="72">
        <v>116.6</v>
      </c>
      <c r="J49" s="72">
        <v>77.73</v>
      </c>
      <c r="K49" s="72">
        <v>160.15</v>
      </c>
      <c r="L49" s="72">
        <v>114.85</v>
      </c>
      <c r="M49" s="72">
        <v>112.44</v>
      </c>
      <c r="N49" s="72">
        <v>112.44</v>
      </c>
      <c r="O49" s="72">
        <v>112.44</v>
      </c>
      <c r="P49" s="72">
        <v>112.44</v>
      </c>
      <c r="Q49" s="72">
        <v>449.76</v>
      </c>
      <c r="R49" s="72">
        <v>0</v>
      </c>
      <c r="S49" s="72">
        <v>450</v>
      </c>
      <c r="T49" s="97">
        <v>0.0177</v>
      </c>
      <c r="U49" s="97">
        <v>0.2334</v>
      </c>
      <c r="V49" s="279"/>
      <c r="W49" s="153">
        <v>0</v>
      </c>
      <c r="X49" s="73">
        <f t="shared" si="17"/>
        <v>0</v>
      </c>
      <c r="Y49" s="180">
        <v>0</v>
      </c>
      <c r="Z49" s="279"/>
      <c r="AA49" s="72">
        <v>138.67</v>
      </c>
      <c r="AB49" s="69">
        <f t="shared" si="18"/>
        <v>0.308155555555556</v>
      </c>
      <c r="AC49" s="180">
        <v>0.0463</v>
      </c>
      <c r="AD49" s="279"/>
      <c r="AE49" s="153">
        <v>0</v>
      </c>
      <c r="AF49" s="73">
        <f t="shared" si="19"/>
        <v>0</v>
      </c>
      <c r="AG49" s="280"/>
      <c r="AH49" s="277">
        <v>-32</v>
      </c>
      <c r="AI49" s="277">
        <v>-14</v>
      </c>
      <c r="AJ49" s="281">
        <v>362</v>
      </c>
      <c r="AK49" s="189">
        <v>345</v>
      </c>
      <c r="AL49" s="189">
        <v>17</v>
      </c>
      <c r="AM49" s="153">
        <v>0</v>
      </c>
      <c r="AN49" s="153">
        <v>0</v>
      </c>
      <c r="AO49" s="282">
        <v>0</v>
      </c>
      <c r="AP49" s="153">
        <v>0</v>
      </c>
      <c r="AQ49" s="153">
        <v>0</v>
      </c>
      <c r="AR49" s="153">
        <v>0</v>
      </c>
      <c r="AS49" s="153">
        <v>0</v>
      </c>
      <c r="AT49" s="153">
        <v>0</v>
      </c>
      <c r="AU49" s="153">
        <v>-35</v>
      </c>
      <c r="AV49" s="153">
        <v>0</v>
      </c>
      <c r="AW49" s="153">
        <v>0</v>
      </c>
      <c r="AX49" s="153">
        <v>0</v>
      </c>
      <c r="AY49" s="262" t="s">
        <v>89</v>
      </c>
      <c r="AZ49" s="249" t="s">
        <v>279</v>
      </c>
      <c r="BA49" s="259"/>
      <c r="BG49" s="7">
        <f t="shared" si="20"/>
        <v>450</v>
      </c>
    </row>
    <row r="50" s="9" customFormat="1" ht="106.5" customHeight="1" spans="1:61">
      <c r="A50" s="66" t="s">
        <v>280</v>
      </c>
      <c r="B50" s="165" t="s">
        <v>281</v>
      </c>
      <c r="C50" s="95">
        <v>6.1</v>
      </c>
      <c r="D50" s="95">
        <v>0</v>
      </c>
      <c r="E50" s="95">
        <v>6.1</v>
      </c>
      <c r="F50" s="95">
        <v>9.6</v>
      </c>
      <c r="G50" s="97">
        <f t="shared" si="16"/>
        <v>0.573770491803279</v>
      </c>
      <c r="H50" s="278" t="s">
        <v>181</v>
      </c>
      <c r="I50" s="95">
        <v>2.88</v>
      </c>
      <c r="J50" s="95">
        <v>1.72</v>
      </c>
      <c r="K50" s="95">
        <v>0.76</v>
      </c>
      <c r="L50" s="128">
        <v>0.74</v>
      </c>
      <c r="M50" s="95">
        <v>2.4</v>
      </c>
      <c r="N50" s="95">
        <v>2.4</v>
      </c>
      <c r="O50" s="95">
        <v>2.4</v>
      </c>
      <c r="P50" s="95">
        <v>2.4</v>
      </c>
      <c r="Q50" s="128">
        <v>0</v>
      </c>
      <c r="R50" s="128">
        <v>9.6</v>
      </c>
      <c r="S50" s="128"/>
      <c r="T50" s="97">
        <v>-6.84918032786885</v>
      </c>
      <c r="U50" s="97">
        <v>0.1</v>
      </c>
      <c r="V50" s="278"/>
      <c r="W50" s="128">
        <v>57.4</v>
      </c>
      <c r="X50" s="73">
        <f t="shared" si="17"/>
        <v>5.97916666666667</v>
      </c>
      <c r="Y50" s="101">
        <v>16.7540983606557</v>
      </c>
      <c r="Z50" s="278" t="s">
        <v>282</v>
      </c>
      <c r="AA50" s="72">
        <v>9.04</v>
      </c>
      <c r="AB50" s="69">
        <f t="shared" si="18"/>
        <v>0.941666666666667</v>
      </c>
      <c r="AC50" s="101">
        <v>1.57049180327869</v>
      </c>
      <c r="AD50" s="278" t="s">
        <v>283</v>
      </c>
      <c r="AE50" s="72">
        <v>0</v>
      </c>
      <c r="AF50" s="73">
        <f t="shared" si="19"/>
        <v>0</v>
      </c>
      <c r="AG50" s="278"/>
      <c r="AH50" s="128">
        <v>-65.56</v>
      </c>
      <c r="AI50" s="128">
        <v>-152.12</v>
      </c>
      <c r="AJ50" s="254">
        <v>47.35</v>
      </c>
      <c r="AK50" s="95">
        <v>0</v>
      </c>
      <c r="AL50" s="95">
        <v>0</v>
      </c>
      <c r="AM50" s="95">
        <v>0</v>
      </c>
      <c r="AN50" s="95">
        <v>0</v>
      </c>
      <c r="AO50" s="254">
        <v>47.35</v>
      </c>
      <c r="AP50" s="95">
        <v>0</v>
      </c>
      <c r="AQ50" s="95">
        <v>38.52</v>
      </c>
      <c r="AR50" s="95">
        <v>0</v>
      </c>
      <c r="AS50" s="95">
        <v>8.83</v>
      </c>
      <c r="AT50" s="95">
        <v>0</v>
      </c>
      <c r="AU50" s="95">
        <v>335.72</v>
      </c>
      <c r="AV50" s="95">
        <v>0</v>
      </c>
      <c r="AW50" s="95">
        <v>0</v>
      </c>
      <c r="AX50" s="95">
        <v>0</v>
      </c>
      <c r="AY50" s="249"/>
      <c r="AZ50" s="249" t="s">
        <v>284</v>
      </c>
      <c r="BA50" s="283"/>
      <c r="BG50" s="7">
        <f t="shared" si="20"/>
        <v>9.6</v>
      </c>
    </row>
    <row r="51" s="6" customFormat="1" ht="26.4" customHeight="1" spans="1:61">
      <c r="A51" s="66" t="s">
        <v>285</v>
      </c>
      <c r="B51" s="76" t="s">
        <v>286</v>
      </c>
      <c r="C51" s="95">
        <v>0</v>
      </c>
      <c r="D51" s="95">
        <v>0</v>
      </c>
      <c r="E51" s="95">
        <v>0</v>
      </c>
      <c r="F51" s="95">
        <v>0</v>
      </c>
      <c r="G51" s="97" t="str">
        <f t="shared" si="16"/>
        <v/>
      </c>
      <c r="H51" s="252"/>
      <c r="I51" s="95">
        <v>0</v>
      </c>
      <c r="J51" s="95">
        <v>0</v>
      </c>
      <c r="K51" s="95">
        <v>0</v>
      </c>
      <c r="L51" s="95">
        <v>0</v>
      </c>
      <c r="M51" s="95">
        <v>0</v>
      </c>
      <c r="N51" s="95">
        <v>0</v>
      </c>
      <c r="O51" s="95">
        <v>0</v>
      </c>
      <c r="P51" s="95">
        <v>0</v>
      </c>
      <c r="Q51" s="95">
        <v>0</v>
      </c>
      <c r="R51" s="95">
        <v>0</v>
      </c>
      <c r="S51" s="95"/>
      <c r="T51" s="97">
        <v>0</v>
      </c>
      <c r="U51" s="97">
        <v>0</v>
      </c>
      <c r="V51" s="252"/>
      <c r="W51" s="95">
        <v>0</v>
      </c>
      <c r="X51" s="73" t="str">
        <f t="shared" si="17"/>
        <v/>
      </c>
      <c r="Y51" s="101">
        <v>0</v>
      </c>
      <c r="Z51" s="252"/>
      <c r="AA51" s="118">
        <v>0</v>
      </c>
      <c r="AB51" s="69" t="str">
        <f t="shared" si="18"/>
        <v/>
      </c>
      <c r="AC51" s="101">
        <v>0</v>
      </c>
      <c r="AD51" s="252"/>
      <c r="AE51" s="95">
        <v>0</v>
      </c>
      <c r="AF51" s="73" t="str">
        <f t="shared" si="19"/>
        <v/>
      </c>
      <c r="AG51" s="253"/>
      <c r="AH51" s="95">
        <v>0.001284</v>
      </c>
      <c r="AI51" s="95">
        <v>-9.767316</v>
      </c>
      <c r="AJ51" s="254">
        <v>0</v>
      </c>
      <c r="AK51" s="95">
        <v>0</v>
      </c>
      <c r="AL51" s="95">
        <v>0</v>
      </c>
      <c r="AM51" s="95">
        <v>0</v>
      </c>
      <c r="AN51" s="95">
        <v>0</v>
      </c>
      <c r="AO51" s="254">
        <v>0</v>
      </c>
      <c r="AP51" s="95">
        <v>0</v>
      </c>
      <c r="AQ51" s="95">
        <v>0</v>
      </c>
      <c r="AR51" s="95">
        <v>0</v>
      </c>
      <c r="AS51" s="95">
        <v>0</v>
      </c>
      <c r="AT51" s="95">
        <v>0</v>
      </c>
      <c r="AU51" s="95">
        <v>0</v>
      </c>
      <c r="AV51" s="95">
        <v>0</v>
      </c>
      <c r="AW51" s="95">
        <v>0</v>
      </c>
      <c r="AX51" s="95">
        <v>0</v>
      </c>
      <c r="AY51" s="259"/>
      <c r="AZ51" s="249" t="s">
        <v>287</v>
      </c>
      <c r="BA51" s="259"/>
      <c r="BG51" s="7">
        <f t="shared" si="20"/>
        <v>0</v>
      </c>
    </row>
    <row r="52" s="6" customFormat="1" ht="171.75" customHeight="1" spans="1:61">
      <c r="A52" s="66" t="s">
        <v>288</v>
      </c>
      <c r="B52" s="284" t="s">
        <v>289</v>
      </c>
      <c r="C52" s="95">
        <v>4592.286766</v>
      </c>
      <c r="D52" s="112">
        <v>1417.76920353982</v>
      </c>
      <c r="E52" s="95">
        <v>6010.05596953982</v>
      </c>
      <c r="F52" s="95">
        <v>9304.52371639569</v>
      </c>
      <c r="G52" s="97">
        <f t="shared" si="16"/>
        <v>0.548159245696363</v>
      </c>
      <c r="H52" s="252" t="s">
        <v>290</v>
      </c>
      <c r="I52" s="72">
        <v>1665.962579</v>
      </c>
      <c r="J52" s="72">
        <v>1396.385081</v>
      </c>
      <c r="K52" s="72">
        <v>1163.968779</v>
      </c>
      <c r="L52" s="72">
        <v>1783.73953053982</v>
      </c>
      <c r="M52" s="72">
        <v>2883.35324136367</v>
      </c>
      <c r="N52" s="72">
        <v>1869.2215582516</v>
      </c>
      <c r="O52" s="72">
        <v>1918.18065604941</v>
      </c>
      <c r="P52" s="72">
        <v>2633.76826073101</v>
      </c>
      <c r="Q52" s="72">
        <v>12.488288</v>
      </c>
      <c r="R52" s="72">
        <v>9292.03542839569</v>
      </c>
      <c r="S52" s="72">
        <v>12</v>
      </c>
      <c r="T52" s="97">
        <v>0.517355564686767</v>
      </c>
      <c r="U52" s="97">
        <v>0.509315491359459</v>
      </c>
      <c r="V52" s="252" t="s">
        <v>291</v>
      </c>
      <c r="W52" s="112">
        <v>1357.716724</v>
      </c>
      <c r="X52" s="73">
        <f t="shared" si="17"/>
        <v>0.145920066989301</v>
      </c>
      <c r="Y52" s="101">
        <v>0.210059314987821</v>
      </c>
      <c r="Z52" s="252" t="s">
        <v>292</v>
      </c>
      <c r="AA52" s="72">
        <v>1306.719824</v>
      </c>
      <c r="AB52" s="69">
        <f t="shared" si="18"/>
        <v>0.140439195366594</v>
      </c>
      <c r="AC52" s="101">
        <v>0.154092979356289</v>
      </c>
      <c r="AD52" s="252" t="s">
        <v>293</v>
      </c>
      <c r="AE52" s="96">
        <v>1012.999444</v>
      </c>
      <c r="AF52" s="73">
        <f t="shared" si="19"/>
        <v>0.108871713897077</v>
      </c>
      <c r="AG52" s="253" t="s">
        <v>294</v>
      </c>
      <c r="AH52" s="137">
        <v>867.050839317853</v>
      </c>
      <c r="AI52" s="137">
        <v>312.725899840507</v>
      </c>
      <c r="AJ52" s="247">
        <v>1768.710812</v>
      </c>
      <c r="AK52" s="137">
        <v>25.615356</v>
      </c>
      <c r="AL52" s="95">
        <v>0</v>
      </c>
      <c r="AM52" s="95">
        <v>0</v>
      </c>
      <c r="AN52" s="72">
        <v>42</v>
      </c>
      <c r="AO52" s="247">
        <v>1701.095456</v>
      </c>
      <c r="AP52" s="95">
        <v>418.994428</v>
      </c>
      <c r="AQ52" s="95">
        <v>749.577524</v>
      </c>
      <c r="AR52" s="95">
        <v>292.094088</v>
      </c>
      <c r="AS52" s="95">
        <v>240.429416</v>
      </c>
      <c r="AT52" s="95">
        <v>0</v>
      </c>
      <c r="AU52" s="95">
        <v>922.143137005918</v>
      </c>
      <c r="AV52" s="95">
        <v>-42.38</v>
      </c>
      <c r="AW52" s="95">
        <v>0</v>
      </c>
      <c r="AX52" s="95">
        <v>0</v>
      </c>
      <c r="AY52" s="262" t="s">
        <v>89</v>
      </c>
      <c r="AZ52" s="249" t="s">
        <v>295</v>
      </c>
      <c r="BA52" s="259"/>
      <c r="BF52" s="6">
        <v>10500</v>
      </c>
      <c r="BG52" s="7">
        <f t="shared" si="20"/>
        <v>-1195.47628360431</v>
      </c>
      <c r="BI52" s="6">
        <f>F52*1.13</f>
        <v>10514.1117995271</v>
      </c>
    </row>
    <row r="53" s="6" customFormat="1" ht="143.25" customHeight="1" spans="1:61">
      <c r="A53" s="66" t="s">
        <v>296</v>
      </c>
      <c r="B53" s="76" t="s">
        <v>297</v>
      </c>
      <c r="C53" s="95">
        <v>419.92</v>
      </c>
      <c r="D53" s="95">
        <v>311.36</v>
      </c>
      <c r="E53" s="95">
        <v>731.28</v>
      </c>
      <c r="F53" s="95">
        <v>843.073902153949</v>
      </c>
      <c r="G53" s="97">
        <f t="shared" si="16"/>
        <v>0.152874278188859</v>
      </c>
      <c r="H53" s="252" t="s">
        <v>298</v>
      </c>
      <c r="I53" s="72">
        <v>103.27</v>
      </c>
      <c r="J53" s="72">
        <v>161.5</v>
      </c>
      <c r="K53" s="72">
        <v>122.29</v>
      </c>
      <c r="L53" s="72">
        <v>344.22</v>
      </c>
      <c r="M53" s="72">
        <v>130.143012189013</v>
      </c>
      <c r="N53" s="72">
        <v>225.020930038404</v>
      </c>
      <c r="O53" s="72">
        <v>225.019160126899</v>
      </c>
      <c r="P53" s="72">
        <v>262.890799799633</v>
      </c>
      <c r="Q53" s="72">
        <v>0</v>
      </c>
      <c r="R53" s="72">
        <v>843.073902153949</v>
      </c>
      <c r="S53" s="72"/>
      <c r="T53" s="97">
        <v>0.332362432994202</v>
      </c>
      <c r="U53" s="97">
        <v>0.442541059127822</v>
      </c>
      <c r="V53" s="252" t="s">
        <v>299</v>
      </c>
      <c r="W53" s="139">
        <v>263.57</v>
      </c>
      <c r="X53" s="73">
        <f t="shared" si="17"/>
        <v>0.312629769853641</v>
      </c>
      <c r="Y53" s="101">
        <v>0.422792911060059</v>
      </c>
      <c r="Z53" s="252" t="s">
        <v>300</v>
      </c>
      <c r="AA53" s="72">
        <v>85.212</v>
      </c>
      <c r="AB53" s="69">
        <f t="shared" si="18"/>
        <v>0.101072989903132</v>
      </c>
      <c r="AC53" s="101">
        <v>0.159836177661087</v>
      </c>
      <c r="AD53" s="252" t="s">
        <v>301</v>
      </c>
      <c r="AE53" s="72">
        <v>0</v>
      </c>
      <c r="AF53" s="73">
        <f t="shared" si="19"/>
        <v>0</v>
      </c>
      <c r="AG53" s="253"/>
      <c r="AH53" s="137">
        <v>22.3328175822341</v>
      </c>
      <c r="AI53" s="137">
        <v>-168.985</v>
      </c>
      <c r="AJ53" s="270">
        <v>319.034</v>
      </c>
      <c r="AK53" s="137">
        <v>18.564</v>
      </c>
      <c r="AL53" s="137">
        <v>0</v>
      </c>
      <c r="AM53" s="137">
        <v>4.56</v>
      </c>
      <c r="AN53" s="137">
        <v>33.6</v>
      </c>
      <c r="AO53" s="270">
        <v>262.31</v>
      </c>
      <c r="AP53" s="95">
        <v>0</v>
      </c>
      <c r="AQ53" s="95">
        <v>190.18</v>
      </c>
      <c r="AR53" s="95">
        <v>0</v>
      </c>
      <c r="AS53" s="95">
        <v>72.13</v>
      </c>
      <c r="AT53" s="95">
        <v>0</v>
      </c>
      <c r="AU53" s="95">
        <v>-91.912</v>
      </c>
      <c r="AV53" s="95">
        <v>0</v>
      </c>
      <c r="AW53" s="138">
        <v>100</v>
      </c>
      <c r="AX53" s="138">
        <v>100</v>
      </c>
      <c r="AY53" s="276" t="s">
        <v>302</v>
      </c>
      <c r="AZ53" s="249" t="s">
        <v>303</v>
      </c>
      <c r="BA53" s="259"/>
      <c r="BF53" s="285">
        <v>950</v>
      </c>
      <c r="BG53" s="7">
        <f t="shared" si="20"/>
        <v>-106.926097846051</v>
      </c>
      <c r="BH53" s="11" t="s">
        <v>304</v>
      </c>
    </row>
    <row r="54" s="6" customFormat="1" ht="56.25" customHeight="1" spans="1:61">
      <c r="A54" s="66" t="s">
        <v>305</v>
      </c>
      <c r="B54" s="76" t="s">
        <v>306</v>
      </c>
      <c r="C54" s="95">
        <v>0</v>
      </c>
      <c r="D54" s="95">
        <v>0</v>
      </c>
      <c r="E54" s="95">
        <v>0</v>
      </c>
      <c r="F54" s="95">
        <v>0</v>
      </c>
      <c r="G54" s="97" t="str">
        <f t="shared" si="16"/>
        <v/>
      </c>
      <c r="H54" s="252"/>
      <c r="I54" s="72">
        <v>0</v>
      </c>
      <c r="J54" s="72">
        <v>0</v>
      </c>
      <c r="K54" s="72">
        <v>0</v>
      </c>
      <c r="L54" s="72">
        <v>0</v>
      </c>
      <c r="M54" s="72">
        <v>0</v>
      </c>
      <c r="N54" s="72">
        <v>0</v>
      </c>
      <c r="O54" s="72">
        <v>0</v>
      </c>
      <c r="P54" s="72">
        <v>0</v>
      </c>
      <c r="Q54" s="72">
        <v>0</v>
      </c>
      <c r="R54" s="72">
        <v>0</v>
      </c>
      <c r="S54" s="72"/>
      <c r="T54" s="97">
        <v>0</v>
      </c>
      <c r="U54" s="97">
        <v>0</v>
      </c>
      <c r="V54" s="264"/>
      <c r="W54" s="112">
        <v>0</v>
      </c>
      <c r="X54" s="73" t="str">
        <f t="shared" si="17"/>
        <v/>
      </c>
      <c r="Y54" s="101">
        <v>0</v>
      </c>
      <c r="Z54" s="264"/>
      <c r="AA54" s="72">
        <v>596.5152</v>
      </c>
      <c r="AB54" s="69" t="str">
        <f t="shared" si="18"/>
        <v/>
      </c>
      <c r="AC54" s="101">
        <v>0</v>
      </c>
      <c r="AD54" s="264" t="s">
        <v>307</v>
      </c>
      <c r="AE54" s="72">
        <v>0</v>
      </c>
      <c r="AF54" s="73" t="str">
        <f t="shared" si="19"/>
        <v/>
      </c>
      <c r="AG54" s="253"/>
      <c r="AH54" s="95">
        <v>-599.9816</v>
      </c>
      <c r="AI54" s="95">
        <v>-250.2023</v>
      </c>
      <c r="AJ54" s="254">
        <v>596.5152</v>
      </c>
      <c r="AK54" s="95">
        <v>0</v>
      </c>
      <c r="AL54" s="95">
        <v>596.5152</v>
      </c>
      <c r="AM54" s="95">
        <v>0</v>
      </c>
      <c r="AN54" s="95">
        <v>0</v>
      </c>
      <c r="AO54" s="254">
        <v>0</v>
      </c>
      <c r="AP54" s="95">
        <v>0</v>
      </c>
      <c r="AQ54" s="95">
        <v>0</v>
      </c>
      <c r="AR54" s="95">
        <v>0</v>
      </c>
      <c r="AS54" s="95">
        <v>0</v>
      </c>
      <c r="AT54" s="95">
        <v>0</v>
      </c>
      <c r="AU54" s="95">
        <v>-3.5248</v>
      </c>
      <c r="AV54" s="95">
        <v>0</v>
      </c>
      <c r="AW54" s="95">
        <v>0</v>
      </c>
      <c r="AX54" s="95">
        <v>0</v>
      </c>
      <c r="AY54" s="286" t="s">
        <v>308</v>
      </c>
      <c r="AZ54" s="249" t="s">
        <v>309</v>
      </c>
      <c r="BA54" s="259"/>
      <c r="BG54" s="7">
        <f t="shared" si="20"/>
        <v>0</v>
      </c>
    </row>
    <row r="55" s="6" customFormat="1" ht="85.5" customHeight="1" spans="1:61">
      <c r="A55" s="66" t="s">
        <v>310</v>
      </c>
      <c r="B55" s="76" t="s">
        <v>311</v>
      </c>
      <c r="C55" s="95">
        <v>0</v>
      </c>
      <c r="D55" s="95">
        <v>0</v>
      </c>
      <c r="E55" s="95">
        <v>0</v>
      </c>
      <c r="F55" s="95">
        <v>0</v>
      </c>
      <c r="G55" s="97" t="str">
        <f t="shared" si="16"/>
        <v/>
      </c>
      <c r="H55" s="252"/>
      <c r="I55" s="72">
        <v>0</v>
      </c>
      <c r="J55" s="72">
        <v>0</v>
      </c>
      <c r="K55" s="72">
        <v>0</v>
      </c>
      <c r="L55" s="72">
        <v>0</v>
      </c>
      <c r="M55" s="72">
        <v>0</v>
      </c>
      <c r="N55" s="72">
        <v>0</v>
      </c>
      <c r="O55" s="72">
        <v>0</v>
      </c>
      <c r="P55" s="72">
        <v>0</v>
      </c>
      <c r="Q55" s="72">
        <v>0</v>
      </c>
      <c r="R55" s="72">
        <v>0</v>
      </c>
      <c r="S55" s="72"/>
      <c r="T55" s="97">
        <v>0</v>
      </c>
      <c r="U55" s="97">
        <v>0</v>
      </c>
      <c r="V55" s="252"/>
      <c r="W55" s="95">
        <v>0</v>
      </c>
      <c r="X55" s="73" t="str">
        <f t="shared" si="17"/>
        <v/>
      </c>
      <c r="Y55" s="101">
        <v>0</v>
      </c>
      <c r="Z55" s="252"/>
      <c r="AA55" s="72">
        <v>496.9788</v>
      </c>
      <c r="AB55" s="69" t="str">
        <f t="shared" si="18"/>
        <v/>
      </c>
      <c r="AC55" s="101">
        <v>0</v>
      </c>
      <c r="AD55" s="252" t="s">
        <v>312</v>
      </c>
      <c r="AE55" s="95">
        <v>0</v>
      </c>
      <c r="AF55" s="73" t="str">
        <f t="shared" si="19"/>
        <v/>
      </c>
      <c r="AG55" s="253"/>
      <c r="AH55" s="95">
        <v>-596.6708</v>
      </c>
      <c r="AI55" s="95">
        <v>-589.9348</v>
      </c>
      <c r="AJ55" s="254">
        <v>487.3788</v>
      </c>
      <c r="AK55" s="95">
        <v>439.7688</v>
      </c>
      <c r="AL55" s="95">
        <v>47.61</v>
      </c>
      <c r="AM55" s="95">
        <v>0</v>
      </c>
      <c r="AN55" s="95">
        <v>0</v>
      </c>
      <c r="AO55" s="254">
        <v>0</v>
      </c>
      <c r="AP55" s="95">
        <v>0</v>
      </c>
      <c r="AQ55" s="95">
        <v>0</v>
      </c>
      <c r="AR55" s="95">
        <v>0</v>
      </c>
      <c r="AS55" s="95">
        <v>0</v>
      </c>
      <c r="AT55" s="95">
        <v>0</v>
      </c>
      <c r="AU55" s="95">
        <v>-109.292</v>
      </c>
      <c r="AV55" s="95">
        <v>0</v>
      </c>
      <c r="AW55" s="95">
        <v>0</v>
      </c>
      <c r="AX55" s="95">
        <v>115</v>
      </c>
      <c r="AY55" s="259"/>
      <c r="AZ55" s="249" t="s">
        <v>313</v>
      </c>
      <c r="BA55" s="259"/>
      <c r="BG55" s="7">
        <f t="shared" si="20"/>
        <v>0</v>
      </c>
    </row>
    <row r="56" s="6" customFormat="1" ht="115.5" spans="1:61">
      <c r="A56" s="66" t="s">
        <v>314</v>
      </c>
      <c r="B56" s="76" t="s">
        <v>315</v>
      </c>
      <c r="C56" s="95">
        <v>0.09</v>
      </c>
      <c r="D56" s="95">
        <v>0</v>
      </c>
      <c r="E56" s="95">
        <v>0.09</v>
      </c>
      <c r="F56" s="95">
        <v>0</v>
      </c>
      <c r="G56" s="97"/>
      <c r="H56" s="252"/>
      <c r="I56" s="72">
        <v>0.03</v>
      </c>
      <c r="J56" s="72">
        <v>0</v>
      </c>
      <c r="K56" s="72">
        <v>0.06</v>
      </c>
      <c r="L56" s="72">
        <v>0</v>
      </c>
      <c r="M56" s="72">
        <v>0</v>
      </c>
      <c r="N56" s="72">
        <v>0</v>
      </c>
      <c r="O56" s="72">
        <v>0</v>
      </c>
      <c r="P56" s="72">
        <v>0</v>
      </c>
      <c r="Q56" s="72">
        <v>0</v>
      </c>
      <c r="R56" s="72">
        <v>0</v>
      </c>
      <c r="S56" s="72"/>
      <c r="T56" s="97"/>
      <c r="U56" s="97"/>
      <c r="V56" s="252"/>
      <c r="W56" s="112">
        <v>11.83</v>
      </c>
      <c r="X56" s="73"/>
      <c r="Y56" s="101"/>
      <c r="Z56" s="252" t="s">
        <v>316</v>
      </c>
      <c r="AA56" s="72">
        <v>251.81</v>
      </c>
      <c r="AB56" s="69" t="str">
        <f t="shared" si="18"/>
        <v/>
      </c>
      <c r="AC56" s="101"/>
      <c r="AD56" s="252" t="s">
        <v>317</v>
      </c>
      <c r="AE56" s="72">
        <v>154.14</v>
      </c>
      <c r="AF56" s="73" t="str">
        <f t="shared" si="19"/>
        <v/>
      </c>
      <c r="AG56" s="253" t="s">
        <v>318</v>
      </c>
      <c r="AH56" s="72">
        <v>-731.57</v>
      </c>
      <c r="AI56" s="72">
        <v>-699.31</v>
      </c>
      <c r="AJ56" s="254">
        <v>537.98</v>
      </c>
      <c r="AK56" s="95">
        <v>80.02</v>
      </c>
      <c r="AL56" s="95">
        <v>0.43</v>
      </c>
      <c r="AM56" s="95">
        <v>107.11</v>
      </c>
      <c r="AN56" s="95">
        <v>153.4</v>
      </c>
      <c r="AO56" s="254">
        <v>184.48</v>
      </c>
      <c r="AP56" s="95">
        <v>55.98</v>
      </c>
      <c r="AQ56" s="95">
        <v>8.51</v>
      </c>
      <c r="AR56" s="95">
        <v>0</v>
      </c>
      <c r="AS56" s="95">
        <v>119.99</v>
      </c>
      <c r="AT56" s="95">
        <v>5</v>
      </c>
      <c r="AU56" s="95">
        <v>-437.27</v>
      </c>
      <c r="AV56" s="95">
        <v>0</v>
      </c>
      <c r="AW56" s="95">
        <v>0</v>
      </c>
      <c r="AX56" s="95">
        <v>100</v>
      </c>
      <c r="AY56" s="256"/>
      <c r="AZ56" s="262" t="s">
        <v>319</v>
      </c>
      <c r="BA56" s="262" t="s">
        <v>320</v>
      </c>
      <c r="BG56" s="7">
        <f t="shared" si="20"/>
        <v>0</v>
      </c>
    </row>
    <row r="57" s="6" customFormat="1" ht="115.5" spans="1:61">
      <c r="A57" s="66" t="s">
        <v>321</v>
      </c>
      <c r="B57" s="76" t="s">
        <v>322</v>
      </c>
      <c r="C57" s="95">
        <v>87.01</v>
      </c>
      <c r="D57" s="95">
        <v>65.04</v>
      </c>
      <c r="E57" s="95">
        <v>152.05</v>
      </c>
      <c r="F57" s="95">
        <v>354</v>
      </c>
      <c r="G57" s="97">
        <f t="shared" si="16"/>
        <v>1.32818151923709</v>
      </c>
      <c r="H57" s="264" t="s">
        <v>323</v>
      </c>
      <c r="I57" s="72">
        <v>24.6</v>
      </c>
      <c r="J57" s="72">
        <v>47.84</v>
      </c>
      <c r="K57" s="72">
        <v>11.81</v>
      </c>
      <c r="L57" s="72">
        <v>67.8</v>
      </c>
      <c r="M57" s="72">
        <v>30</v>
      </c>
      <c r="N57" s="72">
        <v>70</v>
      </c>
      <c r="O57" s="72">
        <v>120</v>
      </c>
      <c r="P57" s="72">
        <v>134</v>
      </c>
      <c r="Q57" s="72">
        <v>0</v>
      </c>
      <c r="R57" s="72">
        <v>354</v>
      </c>
      <c r="S57" s="72"/>
      <c r="T57" s="97">
        <v>0.340279513317988</v>
      </c>
      <c r="U57" s="97">
        <v>0.21635593220339</v>
      </c>
      <c r="V57" s="252"/>
      <c r="W57" s="112">
        <v>42.09</v>
      </c>
      <c r="X57" s="73">
        <f t="shared" si="17"/>
        <v>0.118898305084746</v>
      </c>
      <c r="Y57" s="101">
        <v>0.255771127918448</v>
      </c>
      <c r="Z57" s="252" t="s">
        <v>324</v>
      </c>
      <c r="AA57" s="72">
        <v>47.75</v>
      </c>
      <c r="AB57" s="69">
        <f t="shared" si="18"/>
        <v>0.134887005649718</v>
      </c>
      <c r="AC57" s="101">
        <v>0.401512660309109</v>
      </c>
      <c r="AD57" s="252" t="s">
        <v>325</v>
      </c>
      <c r="AE57" s="95">
        <v>0</v>
      </c>
      <c r="AF57" s="73">
        <f t="shared" si="19"/>
        <v>0</v>
      </c>
      <c r="AG57" s="253"/>
      <c r="AH57" s="95">
        <v>-13.25</v>
      </c>
      <c r="AI57" s="95">
        <v>-47.8705</v>
      </c>
      <c r="AJ57" s="254">
        <v>54.56</v>
      </c>
      <c r="AK57" s="95">
        <v>0.48</v>
      </c>
      <c r="AL57" s="95">
        <v>0</v>
      </c>
      <c r="AM57" s="95">
        <v>0</v>
      </c>
      <c r="AN57" s="95">
        <v>16.02</v>
      </c>
      <c r="AO57" s="254">
        <v>38.06</v>
      </c>
      <c r="AP57" s="95">
        <v>0</v>
      </c>
      <c r="AQ57" s="95">
        <v>15.77</v>
      </c>
      <c r="AR57" s="95">
        <v>0</v>
      </c>
      <c r="AS57" s="95">
        <v>22.29</v>
      </c>
      <c r="AT57" s="95">
        <v>0</v>
      </c>
      <c r="AU57" s="95">
        <v>-267.66</v>
      </c>
      <c r="AV57" s="95">
        <v>0</v>
      </c>
      <c r="AW57" s="95">
        <v>0</v>
      </c>
      <c r="AX57" s="95">
        <v>300</v>
      </c>
      <c r="AY57" s="249" t="s">
        <v>326</v>
      </c>
      <c r="AZ57" s="249" t="s">
        <v>327</v>
      </c>
      <c r="BA57" s="249"/>
      <c r="BG57" s="7">
        <f t="shared" ref="BG57:BG75" si="21">F57-BF57</f>
        <v>354</v>
      </c>
    </row>
    <row r="58" s="6" customFormat="1" ht="26.4" customHeight="1" spans="1:61">
      <c r="A58" s="66" t="s">
        <v>328</v>
      </c>
      <c r="B58" s="76" t="s">
        <v>329</v>
      </c>
      <c r="C58" s="72"/>
      <c r="D58" s="72"/>
      <c r="E58" s="72"/>
      <c r="F58" s="72"/>
      <c r="G58" s="97" t="str">
        <f t="shared" si="16"/>
        <v/>
      </c>
      <c r="H58" s="257"/>
      <c r="I58" s="72"/>
      <c r="J58" s="72"/>
      <c r="K58" s="72"/>
      <c r="L58" s="72"/>
      <c r="M58" s="72"/>
      <c r="N58" s="72"/>
      <c r="O58" s="72"/>
      <c r="P58" s="72"/>
      <c r="Q58" s="72"/>
      <c r="R58" s="72"/>
      <c r="S58" s="72"/>
      <c r="T58" s="97"/>
      <c r="U58" s="97"/>
      <c r="V58" s="257"/>
      <c r="W58" s="72"/>
      <c r="X58" s="73" t="str">
        <f t="shared" si="17"/>
        <v/>
      </c>
      <c r="Y58" s="69"/>
      <c r="Z58" s="257"/>
      <c r="AA58" s="72"/>
      <c r="AB58" s="69" t="str">
        <f t="shared" si="18"/>
        <v/>
      </c>
      <c r="AC58" s="69"/>
      <c r="AD58" s="257"/>
      <c r="AE58" s="72"/>
      <c r="AF58" s="73" t="str">
        <f t="shared" si="19"/>
        <v/>
      </c>
      <c r="AG58" s="258"/>
      <c r="AH58" s="72"/>
      <c r="AI58" s="72"/>
      <c r="AJ58" s="247"/>
      <c r="AK58" s="72"/>
      <c r="AL58" s="72"/>
      <c r="AM58" s="72"/>
      <c r="AN58" s="72"/>
      <c r="AO58" s="247"/>
      <c r="AP58" s="72"/>
      <c r="AQ58" s="72"/>
      <c r="AR58" s="72"/>
      <c r="AS58" s="72"/>
      <c r="AT58" s="72"/>
      <c r="AU58" s="72"/>
      <c r="AV58" s="72"/>
      <c r="AW58" s="72"/>
      <c r="AX58" s="72"/>
      <c r="AY58" s="259"/>
      <c r="AZ58" s="259"/>
      <c r="BA58" s="259"/>
      <c r="BG58" s="7">
        <f t="shared" si="21"/>
        <v>0</v>
      </c>
    </row>
    <row r="59" s="211" customFormat="1" ht="26.4" customHeight="1" spans="1:61">
      <c r="A59" s="229" t="s">
        <v>330</v>
      </c>
      <c r="B59" s="230" t="s">
        <v>331</v>
      </c>
      <c r="C59" s="231"/>
      <c r="D59" s="231"/>
      <c r="E59" s="231"/>
      <c r="F59" s="231"/>
      <c r="G59" s="232" t="str">
        <f t="shared" si="16"/>
        <v/>
      </c>
      <c r="H59" s="240"/>
      <c r="I59" s="231"/>
      <c r="J59" s="231"/>
      <c r="K59" s="231"/>
      <c r="L59" s="231"/>
      <c r="M59" s="231"/>
      <c r="N59" s="231"/>
      <c r="O59" s="231"/>
      <c r="P59" s="231"/>
      <c r="Q59" s="231"/>
      <c r="R59" s="231"/>
      <c r="S59" s="231"/>
      <c r="T59" s="232"/>
      <c r="U59" s="232"/>
      <c r="V59" s="240"/>
      <c r="W59" s="231"/>
      <c r="X59" s="234" t="str">
        <f t="shared" si="17"/>
        <v/>
      </c>
      <c r="Y59" s="236"/>
      <c r="Z59" s="240"/>
      <c r="AA59" s="231"/>
      <c r="AB59" s="236" t="str">
        <f t="shared" si="18"/>
        <v/>
      </c>
      <c r="AC59" s="236"/>
      <c r="AD59" s="240"/>
      <c r="AE59" s="231"/>
      <c r="AF59" s="234" t="str">
        <f t="shared" si="19"/>
        <v/>
      </c>
      <c r="AG59" s="243"/>
      <c r="AH59" s="231"/>
      <c r="AI59" s="231"/>
      <c r="AJ59" s="231"/>
      <c r="AK59" s="231"/>
      <c r="AL59" s="231"/>
      <c r="AM59" s="231"/>
      <c r="AN59" s="231"/>
      <c r="AO59" s="231"/>
      <c r="AP59" s="231"/>
      <c r="AQ59" s="231"/>
      <c r="AR59" s="231"/>
      <c r="AS59" s="231"/>
      <c r="AT59" s="231"/>
      <c r="AU59" s="231"/>
      <c r="AV59" s="231"/>
      <c r="AW59" s="231"/>
      <c r="AX59" s="231"/>
      <c r="AY59" s="241"/>
      <c r="AZ59" s="241"/>
      <c r="BA59" s="241"/>
      <c r="BD59" s="239" t="s">
        <v>70</v>
      </c>
      <c r="BG59" s="274">
        <f t="shared" si="21"/>
        <v>0</v>
      </c>
    </row>
    <row r="60" s="211" customFormat="1" ht="26.4" customHeight="1" spans="1:61">
      <c r="A60" s="229" t="s">
        <v>332</v>
      </c>
      <c r="B60" s="230" t="s">
        <v>333</v>
      </c>
      <c r="C60" s="231"/>
      <c r="D60" s="231"/>
      <c r="E60" s="231"/>
      <c r="F60" s="231"/>
      <c r="G60" s="232" t="str">
        <f t="shared" si="16"/>
        <v/>
      </c>
      <c r="H60" s="240"/>
      <c r="I60" s="231"/>
      <c r="J60" s="231"/>
      <c r="K60" s="231"/>
      <c r="L60" s="231"/>
      <c r="M60" s="231"/>
      <c r="N60" s="231"/>
      <c r="O60" s="231"/>
      <c r="P60" s="231"/>
      <c r="Q60" s="231"/>
      <c r="R60" s="231"/>
      <c r="S60" s="231"/>
      <c r="T60" s="232"/>
      <c r="U60" s="232"/>
      <c r="V60" s="240"/>
      <c r="W60" s="231"/>
      <c r="X60" s="234" t="str">
        <f t="shared" si="17"/>
        <v/>
      </c>
      <c r="Y60" s="236"/>
      <c r="Z60" s="240"/>
      <c r="AA60" s="231"/>
      <c r="AB60" s="236" t="str">
        <f t="shared" si="18"/>
        <v/>
      </c>
      <c r="AC60" s="236"/>
      <c r="AD60" s="240"/>
      <c r="AE60" s="231"/>
      <c r="AF60" s="234" t="str">
        <f t="shared" si="19"/>
        <v/>
      </c>
      <c r="AG60" s="243"/>
      <c r="AH60" s="231"/>
      <c r="AI60" s="231"/>
      <c r="AJ60" s="231"/>
      <c r="AK60" s="231"/>
      <c r="AL60" s="231"/>
      <c r="AM60" s="231"/>
      <c r="AN60" s="231"/>
      <c r="AO60" s="231"/>
      <c r="AP60" s="231"/>
      <c r="AQ60" s="231"/>
      <c r="AR60" s="231"/>
      <c r="AS60" s="231"/>
      <c r="AT60" s="231"/>
      <c r="AU60" s="231"/>
      <c r="AV60" s="231"/>
      <c r="AW60" s="231"/>
      <c r="AX60" s="231"/>
      <c r="AY60" s="241"/>
      <c r="AZ60" s="241"/>
      <c r="BA60" s="241"/>
      <c r="BD60" s="239" t="s">
        <v>70</v>
      </c>
      <c r="BG60" s="274">
        <f t="shared" si="21"/>
        <v>0</v>
      </c>
    </row>
    <row r="61" s="211" customFormat="1" ht="26.4" customHeight="1" spans="1:61">
      <c r="A61" s="229" t="s">
        <v>334</v>
      </c>
      <c r="B61" s="230" t="s">
        <v>335</v>
      </c>
      <c r="C61" s="231"/>
      <c r="D61" s="231"/>
      <c r="E61" s="231"/>
      <c r="F61" s="231"/>
      <c r="G61" s="232" t="str">
        <f t="shared" si="16"/>
        <v/>
      </c>
      <c r="H61" s="240"/>
      <c r="I61" s="231"/>
      <c r="J61" s="231"/>
      <c r="K61" s="231"/>
      <c r="L61" s="231"/>
      <c r="M61" s="231"/>
      <c r="N61" s="231"/>
      <c r="O61" s="231"/>
      <c r="P61" s="231"/>
      <c r="Q61" s="231"/>
      <c r="R61" s="231"/>
      <c r="S61" s="231"/>
      <c r="T61" s="232"/>
      <c r="U61" s="232"/>
      <c r="V61" s="240"/>
      <c r="W61" s="231"/>
      <c r="X61" s="234" t="str">
        <f t="shared" si="17"/>
        <v/>
      </c>
      <c r="Y61" s="236"/>
      <c r="Z61" s="240"/>
      <c r="AA61" s="231"/>
      <c r="AB61" s="236" t="str">
        <f t="shared" si="18"/>
        <v/>
      </c>
      <c r="AC61" s="236"/>
      <c r="AD61" s="240"/>
      <c r="AE61" s="231"/>
      <c r="AF61" s="234" t="str">
        <f t="shared" si="19"/>
        <v/>
      </c>
      <c r="AG61" s="243"/>
      <c r="AH61" s="231"/>
      <c r="AI61" s="231"/>
      <c r="AJ61" s="231"/>
      <c r="AK61" s="231"/>
      <c r="AL61" s="231"/>
      <c r="AM61" s="231"/>
      <c r="AN61" s="231"/>
      <c r="AO61" s="231"/>
      <c r="AP61" s="231"/>
      <c r="AQ61" s="231"/>
      <c r="AR61" s="231"/>
      <c r="AS61" s="231"/>
      <c r="AT61" s="231"/>
      <c r="AU61" s="231"/>
      <c r="AV61" s="231"/>
      <c r="AW61" s="231"/>
      <c r="AX61" s="231"/>
      <c r="AY61" s="241"/>
      <c r="AZ61" s="241"/>
      <c r="BA61" s="241"/>
      <c r="BD61" s="239" t="s">
        <v>70</v>
      </c>
      <c r="BG61" s="274">
        <f t="shared" si="21"/>
        <v>0</v>
      </c>
    </row>
    <row r="62" s="211" customFormat="1" ht="26.4" customHeight="1" spans="1:61">
      <c r="A62" s="229" t="s">
        <v>336</v>
      </c>
      <c r="B62" s="230" t="s">
        <v>337</v>
      </c>
      <c r="C62" s="231"/>
      <c r="D62" s="231"/>
      <c r="E62" s="231"/>
      <c r="F62" s="231"/>
      <c r="G62" s="232" t="str">
        <f t="shared" si="16"/>
        <v/>
      </c>
      <c r="H62" s="240"/>
      <c r="I62" s="231"/>
      <c r="J62" s="231"/>
      <c r="K62" s="231"/>
      <c r="L62" s="231"/>
      <c r="M62" s="231"/>
      <c r="N62" s="231"/>
      <c r="O62" s="231"/>
      <c r="P62" s="231"/>
      <c r="Q62" s="231"/>
      <c r="R62" s="231"/>
      <c r="S62" s="231"/>
      <c r="T62" s="232"/>
      <c r="U62" s="232"/>
      <c r="V62" s="240"/>
      <c r="W62" s="231"/>
      <c r="X62" s="234" t="str">
        <f t="shared" si="17"/>
        <v/>
      </c>
      <c r="Y62" s="236"/>
      <c r="Z62" s="240"/>
      <c r="AA62" s="231"/>
      <c r="AB62" s="236" t="str">
        <f t="shared" si="18"/>
        <v/>
      </c>
      <c r="AC62" s="236"/>
      <c r="AD62" s="240"/>
      <c r="AE62" s="231"/>
      <c r="AF62" s="234" t="str">
        <f t="shared" si="19"/>
        <v/>
      </c>
      <c r="AG62" s="243"/>
      <c r="AH62" s="231"/>
      <c r="AI62" s="231"/>
      <c r="AJ62" s="231"/>
      <c r="AK62" s="231"/>
      <c r="AL62" s="231"/>
      <c r="AM62" s="231"/>
      <c r="AN62" s="231"/>
      <c r="AO62" s="231"/>
      <c r="AP62" s="231"/>
      <c r="AQ62" s="231"/>
      <c r="AR62" s="231"/>
      <c r="AS62" s="231"/>
      <c r="AT62" s="231"/>
      <c r="AU62" s="231"/>
      <c r="AV62" s="231"/>
      <c r="AW62" s="231"/>
      <c r="AX62" s="231"/>
      <c r="AY62" s="241"/>
      <c r="AZ62" s="241"/>
      <c r="BA62" s="241"/>
      <c r="BD62" s="239" t="s">
        <v>70</v>
      </c>
      <c r="BG62" s="274">
        <f t="shared" si="21"/>
        <v>0</v>
      </c>
    </row>
    <row r="63" s="211" customFormat="1" ht="26.4" customHeight="1" spans="1:61">
      <c r="A63" s="229" t="s">
        <v>338</v>
      </c>
      <c r="B63" s="230" t="s">
        <v>339</v>
      </c>
      <c r="C63" s="231"/>
      <c r="D63" s="231"/>
      <c r="E63" s="231"/>
      <c r="F63" s="231"/>
      <c r="G63" s="232" t="str">
        <f t="shared" si="16"/>
        <v/>
      </c>
      <c r="H63" s="240"/>
      <c r="I63" s="231"/>
      <c r="J63" s="231"/>
      <c r="K63" s="231"/>
      <c r="L63" s="231"/>
      <c r="M63" s="231"/>
      <c r="N63" s="231"/>
      <c r="O63" s="231"/>
      <c r="P63" s="231"/>
      <c r="Q63" s="231"/>
      <c r="R63" s="231"/>
      <c r="S63" s="231"/>
      <c r="T63" s="232"/>
      <c r="U63" s="232"/>
      <c r="V63" s="240"/>
      <c r="W63" s="231"/>
      <c r="X63" s="234" t="str">
        <f t="shared" si="17"/>
        <v/>
      </c>
      <c r="Y63" s="236"/>
      <c r="Z63" s="240"/>
      <c r="AA63" s="231"/>
      <c r="AB63" s="236" t="str">
        <f t="shared" si="18"/>
        <v/>
      </c>
      <c r="AC63" s="236"/>
      <c r="AD63" s="240"/>
      <c r="AE63" s="231"/>
      <c r="AF63" s="234" t="str">
        <f t="shared" si="19"/>
        <v/>
      </c>
      <c r="AG63" s="243"/>
      <c r="AH63" s="231"/>
      <c r="AI63" s="231"/>
      <c r="AJ63" s="231"/>
      <c r="AK63" s="231"/>
      <c r="AL63" s="231"/>
      <c r="AM63" s="231"/>
      <c r="AN63" s="231"/>
      <c r="AO63" s="231"/>
      <c r="AP63" s="231"/>
      <c r="AQ63" s="231"/>
      <c r="AR63" s="231"/>
      <c r="AS63" s="231"/>
      <c r="AT63" s="231"/>
      <c r="AU63" s="231"/>
      <c r="AV63" s="231"/>
      <c r="AW63" s="231"/>
      <c r="AX63" s="231"/>
      <c r="AY63" s="241"/>
      <c r="AZ63" s="241"/>
      <c r="BA63" s="241"/>
      <c r="BD63" s="239" t="s">
        <v>70</v>
      </c>
      <c r="BG63" s="274">
        <f t="shared" si="21"/>
        <v>0</v>
      </c>
    </row>
    <row r="64" s="6" customFormat="1" ht="99" spans="1:61">
      <c r="A64" s="66" t="s">
        <v>340</v>
      </c>
      <c r="B64" s="76" t="s">
        <v>341</v>
      </c>
      <c r="C64" s="95">
        <v>1289.435078</v>
      </c>
      <c r="D64" s="95">
        <v>240.368932038835</v>
      </c>
      <c r="E64" s="95">
        <v>1529.80401003883</v>
      </c>
      <c r="F64" s="95">
        <v>2579.28286794398</v>
      </c>
      <c r="G64" s="97">
        <f t="shared" si="16"/>
        <v>0.686021772082106</v>
      </c>
      <c r="H64" s="287" t="s">
        <v>342</v>
      </c>
      <c r="I64" s="72">
        <v>340.537765</v>
      </c>
      <c r="J64" s="72">
        <v>354.30389</v>
      </c>
      <c r="K64" s="72">
        <v>503.230932</v>
      </c>
      <c r="L64" s="72">
        <v>331.731423038835</v>
      </c>
      <c r="M64" s="72">
        <v>482.29037718017</v>
      </c>
      <c r="N64" s="72">
        <v>618.295231549102</v>
      </c>
      <c r="O64" s="72">
        <v>779.324357762694</v>
      </c>
      <c r="P64" s="72">
        <v>699.372901452014</v>
      </c>
      <c r="Q64" s="72">
        <v>0</v>
      </c>
      <c r="R64" s="72">
        <v>2579.28286794398</v>
      </c>
      <c r="S64" s="72"/>
      <c r="T64" s="97">
        <v>0.476861753841849</v>
      </c>
      <c r="U64" s="97">
        <v>0.536818512018775</v>
      </c>
      <c r="V64" s="252" t="s">
        <v>343</v>
      </c>
      <c r="W64" s="95">
        <v>553.277471510989</v>
      </c>
      <c r="X64" s="73">
        <f t="shared" si="17"/>
        <v>0.214508256689202</v>
      </c>
      <c r="Y64" s="97">
        <v>0.290211542407618</v>
      </c>
      <c r="Z64" s="252" t="s">
        <v>344</v>
      </c>
      <c r="AA64" s="95">
        <v>381.797065458503</v>
      </c>
      <c r="AB64" s="69">
        <f t="shared" si="18"/>
        <v>0.14802450332361</v>
      </c>
      <c r="AC64" s="97">
        <v>0.300329728504463</v>
      </c>
      <c r="AD64" s="252" t="s">
        <v>345</v>
      </c>
      <c r="AE64" s="72">
        <v>664.300413833333</v>
      </c>
      <c r="AF64" s="73">
        <f t="shared" si="19"/>
        <v>0.257552369338562</v>
      </c>
      <c r="AG64" s="253" t="s">
        <v>346</v>
      </c>
      <c r="AH64" s="137">
        <v>-272.106209897856</v>
      </c>
      <c r="AI64" s="137">
        <v>-1070.58092462332</v>
      </c>
      <c r="AJ64" s="270">
        <v>1100.76055733333</v>
      </c>
      <c r="AK64" s="137">
        <v>132.252002333333</v>
      </c>
      <c r="AL64" s="137">
        <v>49.445028</v>
      </c>
      <c r="AM64" s="137">
        <v>191.709384</v>
      </c>
      <c r="AN64" s="137">
        <v>244.58766</v>
      </c>
      <c r="AO64" s="270">
        <v>948.804489</v>
      </c>
      <c r="AP64" s="95">
        <v>303.960409</v>
      </c>
      <c r="AQ64" s="95">
        <v>128.387121</v>
      </c>
      <c r="AR64" s="95">
        <v>322.591959</v>
      </c>
      <c r="AS64" s="137">
        <v>193.865</v>
      </c>
      <c r="AT64" s="95">
        <v>40.310316</v>
      </c>
      <c r="AU64" s="95">
        <v>-424.837515647419</v>
      </c>
      <c r="AV64" s="95">
        <v>-413.45</v>
      </c>
      <c r="AW64" s="95">
        <v>0</v>
      </c>
      <c r="AX64" s="95">
        <v>1000</v>
      </c>
      <c r="AY64" s="249" t="s">
        <v>347</v>
      </c>
      <c r="AZ64" s="249" t="s">
        <v>348</v>
      </c>
      <c r="BA64" s="249"/>
      <c r="BF64" s="6">
        <v>2579.28</v>
      </c>
      <c r="BG64" s="7">
        <f t="shared" si="21"/>
        <v>0.0028679439797088</v>
      </c>
    </row>
    <row r="65" s="6" customFormat="1" ht="190" customHeight="1" spans="1:61">
      <c r="A65" s="66" t="s">
        <v>349</v>
      </c>
      <c r="B65" s="76" t="s">
        <v>350</v>
      </c>
      <c r="C65" s="72">
        <v>3870</v>
      </c>
      <c r="D65" s="72">
        <v>1397</v>
      </c>
      <c r="E65" s="72">
        <v>5267</v>
      </c>
      <c r="F65" s="72">
        <v>9690</v>
      </c>
      <c r="G65" s="97">
        <f t="shared" si="16"/>
        <v>0.839756977406493</v>
      </c>
      <c r="H65" s="287" t="s">
        <v>351</v>
      </c>
      <c r="I65" s="72">
        <v>1018</v>
      </c>
      <c r="J65" s="72">
        <v>1747</v>
      </c>
      <c r="K65" s="72">
        <v>737</v>
      </c>
      <c r="L65" s="72">
        <v>1765</v>
      </c>
      <c r="M65" s="72">
        <v>2361</v>
      </c>
      <c r="N65" s="72">
        <v>2142</v>
      </c>
      <c r="O65" s="72">
        <v>2307.63</v>
      </c>
      <c r="P65" s="72">
        <v>2878.76</v>
      </c>
      <c r="Q65" s="72">
        <v>0</v>
      </c>
      <c r="R65" s="72">
        <v>9690.28</v>
      </c>
      <c r="S65" s="72"/>
      <c r="T65" s="97">
        <v>0.3463</v>
      </c>
      <c r="U65" s="97">
        <v>0.3863</v>
      </c>
      <c r="V65" s="252" t="s">
        <v>352</v>
      </c>
      <c r="W65" s="288">
        <v>657</v>
      </c>
      <c r="X65" s="73">
        <f t="shared" si="17"/>
        <v>0.0678018575851393</v>
      </c>
      <c r="Y65" s="97">
        <v>0.1305</v>
      </c>
      <c r="Z65" s="287" t="s">
        <v>353</v>
      </c>
      <c r="AA65" s="72">
        <v>743.88</v>
      </c>
      <c r="AB65" s="69">
        <f t="shared" si="18"/>
        <v>0.0767678018575851</v>
      </c>
      <c r="AC65" s="97">
        <v>0.1569</v>
      </c>
      <c r="AD65" s="289" t="s">
        <v>354</v>
      </c>
      <c r="AE65" s="72">
        <v>2526.4</v>
      </c>
      <c r="AF65" s="73">
        <f t="shared" si="19"/>
        <v>0.260722394220846</v>
      </c>
      <c r="AG65" s="290" t="s">
        <v>355</v>
      </c>
      <c r="AH65" s="288">
        <v>-285</v>
      </c>
      <c r="AI65" s="189">
        <v>-670</v>
      </c>
      <c r="AJ65" s="281">
        <v>2669</v>
      </c>
      <c r="AK65" s="189">
        <v>501</v>
      </c>
      <c r="AL65" s="189">
        <v>9</v>
      </c>
      <c r="AM65" s="288">
        <v>143</v>
      </c>
      <c r="AN65" s="288">
        <v>494</v>
      </c>
      <c r="AO65" s="281">
        <v>1522</v>
      </c>
      <c r="AP65" s="291">
        <v>511</v>
      </c>
      <c r="AQ65" s="291">
        <v>309</v>
      </c>
      <c r="AR65" s="291">
        <v>441</v>
      </c>
      <c r="AS65" s="291">
        <v>260</v>
      </c>
      <c r="AT65" s="288">
        <v>0</v>
      </c>
      <c r="AU65" s="291">
        <v>995</v>
      </c>
      <c r="AV65" s="291">
        <v>12</v>
      </c>
      <c r="AW65" s="153">
        <v>0</v>
      </c>
      <c r="AX65" s="153">
        <v>0</v>
      </c>
      <c r="AY65" s="292" t="s">
        <v>89</v>
      </c>
      <c r="AZ65" s="293" t="s">
        <v>356</v>
      </c>
      <c r="BA65" s="293" t="s">
        <v>357</v>
      </c>
      <c r="BF65" s="6">
        <v>10000</v>
      </c>
      <c r="BG65" s="7">
        <f t="shared" si="21"/>
        <v>-310</v>
      </c>
      <c r="BI65" s="6">
        <f>F65*1.13</f>
        <v>10949.7</v>
      </c>
    </row>
    <row r="66" s="211" customFormat="1" ht="171.3" customHeight="1" spans="1:61">
      <c r="A66" s="229" t="s">
        <v>358</v>
      </c>
      <c r="B66" s="230" t="s">
        <v>359</v>
      </c>
      <c r="C66" s="231">
        <v>18005</v>
      </c>
      <c r="D66" s="231">
        <f>E66-C66</f>
        <v>5095</v>
      </c>
      <c r="E66" s="231">
        <v>23100</v>
      </c>
      <c r="F66" s="231">
        <v>27207.83</v>
      </c>
      <c r="G66" s="232">
        <f t="shared" si="16"/>
        <v>0.177828138528139</v>
      </c>
      <c r="H66" s="233" t="s">
        <v>360</v>
      </c>
      <c r="I66" s="231">
        <v>3067.09</v>
      </c>
      <c r="J66" s="231">
        <v>4625.59</v>
      </c>
      <c r="K66" s="231">
        <v>7682.93</v>
      </c>
      <c r="L66" s="231">
        <v>7277.82</v>
      </c>
      <c r="M66" s="231">
        <v>6991.28</v>
      </c>
      <c r="N66" s="231">
        <v>5711.19</v>
      </c>
      <c r="O66" s="231">
        <v>7877.82</v>
      </c>
      <c r="P66" s="231">
        <v>6627.54</v>
      </c>
      <c r="Q66" s="231">
        <v>0</v>
      </c>
      <c r="R66" s="231">
        <f>F66</f>
        <v>27207.83</v>
      </c>
      <c r="S66" s="231"/>
      <c r="T66" s="232">
        <v>0.29</v>
      </c>
      <c r="U66" s="232">
        <v>0.35</v>
      </c>
      <c r="V66" s="233" t="s">
        <v>361</v>
      </c>
      <c r="W66" s="231">
        <v>2830.51</v>
      </c>
      <c r="X66" s="234">
        <f t="shared" si="17"/>
        <v>0.10403291993518</v>
      </c>
      <c r="Y66" s="232">
        <v>0.103</v>
      </c>
      <c r="Z66" s="233" t="s">
        <v>362</v>
      </c>
      <c r="AA66" s="231">
        <v>2568.1</v>
      </c>
      <c r="AB66" s="236">
        <f t="shared" si="18"/>
        <v>0.0943882698473197</v>
      </c>
      <c r="AC66" s="232">
        <v>0.097</v>
      </c>
      <c r="AD66" s="233" t="s">
        <v>363</v>
      </c>
      <c r="AE66" s="231">
        <v>0</v>
      </c>
      <c r="AF66" s="234">
        <f t="shared" si="19"/>
        <v>0</v>
      </c>
      <c r="AG66" s="243"/>
      <c r="AH66" s="231">
        <v>3602.86</v>
      </c>
      <c r="AI66" s="231">
        <v>2100</v>
      </c>
      <c r="AJ66" s="231">
        <f>AK66+AL66+AM66+AN66+AO66</f>
        <v>3206</v>
      </c>
      <c r="AK66" s="231">
        <v>56</v>
      </c>
      <c r="AL66" s="231">
        <v>0</v>
      </c>
      <c r="AM66" s="231">
        <v>0</v>
      </c>
      <c r="AN66" s="231">
        <v>277</v>
      </c>
      <c r="AO66" s="231">
        <f>AQ66+AS66</f>
        <v>2873</v>
      </c>
      <c r="AP66" s="231">
        <v>0</v>
      </c>
      <c r="AQ66" s="231">
        <v>1550</v>
      </c>
      <c r="AR66" s="231">
        <v>0</v>
      </c>
      <c r="AS66" s="231">
        <v>1323</v>
      </c>
      <c r="AT66" s="231"/>
      <c r="AU66" s="231"/>
      <c r="AV66" s="231"/>
      <c r="AW66" s="231"/>
      <c r="AX66" s="231"/>
      <c r="AY66" s="238" t="s">
        <v>89</v>
      </c>
      <c r="AZ66" s="238" t="s">
        <v>364</v>
      </c>
      <c r="BA66" s="238" t="s">
        <v>365</v>
      </c>
      <c r="BD66" s="239" t="s">
        <v>70</v>
      </c>
      <c r="BG66" s="274">
        <f t="shared" si="21"/>
        <v>27207.83</v>
      </c>
    </row>
    <row r="67" s="211" customFormat="1" ht="26.4" customHeight="1" spans="1:61">
      <c r="A67" s="229" t="s">
        <v>366</v>
      </c>
      <c r="B67" s="230" t="s">
        <v>367</v>
      </c>
      <c r="C67" s="231"/>
      <c r="D67" s="231"/>
      <c r="E67" s="231">
        <f>C67+D67</f>
        <v>0</v>
      </c>
      <c r="F67" s="231"/>
      <c r="G67" s="232" t="str">
        <f t="shared" si="16"/>
        <v/>
      </c>
      <c r="H67" s="240"/>
      <c r="I67" s="231"/>
      <c r="J67" s="231"/>
      <c r="K67" s="231"/>
      <c r="L67" s="231"/>
      <c r="M67" s="231"/>
      <c r="N67" s="231"/>
      <c r="O67" s="231"/>
      <c r="P67" s="231"/>
      <c r="Q67" s="231"/>
      <c r="R67" s="231"/>
      <c r="S67" s="231"/>
      <c r="T67" s="232"/>
      <c r="U67" s="232"/>
      <c r="V67" s="240"/>
      <c r="W67" s="231"/>
      <c r="X67" s="234" t="str">
        <f t="shared" si="17"/>
        <v/>
      </c>
      <c r="Y67" s="236"/>
      <c r="Z67" s="240"/>
      <c r="AA67" s="231"/>
      <c r="AB67" s="236" t="str">
        <f t="shared" si="18"/>
        <v/>
      </c>
      <c r="AC67" s="236"/>
      <c r="AD67" s="240"/>
      <c r="AE67" s="231"/>
      <c r="AF67" s="234" t="str">
        <f t="shared" si="19"/>
        <v/>
      </c>
      <c r="AG67" s="243"/>
      <c r="AH67" s="231"/>
      <c r="AI67" s="231"/>
      <c r="AJ67" s="231"/>
      <c r="AK67" s="231"/>
      <c r="AL67" s="231"/>
      <c r="AM67" s="231"/>
      <c r="AN67" s="231"/>
      <c r="AO67" s="231"/>
      <c r="AP67" s="231"/>
      <c r="AQ67" s="231"/>
      <c r="AR67" s="231"/>
      <c r="AS67" s="231"/>
      <c r="AT67" s="231"/>
      <c r="AU67" s="231"/>
      <c r="AV67" s="231"/>
      <c r="AW67" s="231"/>
      <c r="AX67" s="231"/>
      <c r="AY67" s="241"/>
      <c r="AZ67" s="241"/>
      <c r="BA67" s="241"/>
      <c r="BD67" s="239" t="s">
        <v>70</v>
      </c>
      <c r="BG67" s="274">
        <f t="shared" si="21"/>
        <v>0</v>
      </c>
    </row>
    <row r="68" s="211" customFormat="1" ht="82.5" spans="1:61">
      <c r="A68" s="229" t="s">
        <v>368</v>
      </c>
      <c r="B68" s="230" t="s">
        <v>369</v>
      </c>
      <c r="C68" s="294">
        <v>0</v>
      </c>
      <c r="D68" s="294">
        <v>0</v>
      </c>
      <c r="E68" s="294">
        <v>0</v>
      </c>
      <c r="F68" s="294">
        <v>239.56</v>
      </c>
      <c r="G68" s="232" t="str">
        <f t="shared" si="16"/>
        <v/>
      </c>
      <c r="H68" s="233" t="s">
        <v>370</v>
      </c>
      <c r="I68" s="294">
        <v>0</v>
      </c>
      <c r="J68" s="294">
        <v>0</v>
      </c>
      <c r="K68" s="294">
        <v>0</v>
      </c>
      <c r="L68" s="294">
        <v>0</v>
      </c>
      <c r="M68" s="294">
        <v>0</v>
      </c>
      <c r="N68" s="294">
        <v>15.98</v>
      </c>
      <c r="O68" s="294">
        <v>91.45</v>
      </c>
      <c r="P68" s="294">
        <v>132.13</v>
      </c>
      <c r="Q68" s="294">
        <v>0</v>
      </c>
      <c r="R68" s="294">
        <v>239.56</v>
      </c>
      <c r="S68" s="294"/>
      <c r="T68" s="232">
        <v>0</v>
      </c>
      <c r="U68" s="232">
        <v>0.1</v>
      </c>
      <c r="V68" s="233"/>
      <c r="W68" s="294">
        <v>110.9477694</v>
      </c>
      <c r="X68" s="234">
        <f t="shared" si="17"/>
        <v>0.463131446819168</v>
      </c>
      <c r="Y68" s="232">
        <v>0</v>
      </c>
      <c r="Z68" s="233" t="s">
        <v>371</v>
      </c>
      <c r="AA68" s="294">
        <v>49.660825</v>
      </c>
      <c r="AB68" s="236">
        <f t="shared" si="18"/>
        <v>0.207300154449825</v>
      </c>
      <c r="AC68" s="232">
        <v>0</v>
      </c>
      <c r="AD68" s="233" t="s">
        <v>372</v>
      </c>
      <c r="AE68" s="294">
        <v>0</v>
      </c>
      <c r="AF68" s="234">
        <f t="shared" si="19"/>
        <v>0</v>
      </c>
      <c r="AG68" s="237"/>
      <c r="AH68" s="294">
        <v>-141.95</v>
      </c>
      <c r="AI68" s="294">
        <v>-47.8248242225</v>
      </c>
      <c r="AJ68" s="294">
        <v>84.5231244</v>
      </c>
      <c r="AK68" s="294">
        <v>0.609336</v>
      </c>
      <c r="AL68" s="294">
        <v>0</v>
      </c>
      <c r="AM68" s="294">
        <v>0</v>
      </c>
      <c r="AN68" s="294">
        <v>28.319616</v>
      </c>
      <c r="AO68" s="294">
        <v>68.83</v>
      </c>
      <c r="AP68" s="294">
        <v>0</v>
      </c>
      <c r="AQ68" s="294">
        <v>56.95</v>
      </c>
      <c r="AR68" s="294">
        <v>0</v>
      </c>
      <c r="AS68" s="294">
        <v>11.88</v>
      </c>
      <c r="AT68" s="294">
        <v>0</v>
      </c>
      <c r="AU68" s="294">
        <v>-219.98</v>
      </c>
      <c r="AV68" s="294">
        <v>0</v>
      </c>
      <c r="AW68" s="294">
        <v>200</v>
      </c>
      <c r="AX68" s="294">
        <v>200</v>
      </c>
      <c r="AY68" s="238" t="s">
        <v>373</v>
      </c>
      <c r="AZ68" s="238" t="s">
        <v>374</v>
      </c>
      <c r="BA68" s="238"/>
      <c r="BD68" s="239" t="s">
        <v>70</v>
      </c>
      <c r="BG68" s="274">
        <f t="shared" si="21"/>
        <v>239.56</v>
      </c>
    </row>
    <row r="69" s="211" customFormat="1" ht="26.4" customHeight="1" spans="1:61">
      <c r="A69" s="229" t="s">
        <v>375</v>
      </c>
      <c r="B69" s="230" t="s">
        <v>376</v>
      </c>
      <c r="C69" s="231"/>
      <c r="D69" s="231"/>
      <c r="E69" s="231">
        <f>C69+D69</f>
        <v>0</v>
      </c>
      <c r="F69" s="231"/>
      <c r="G69" s="232" t="str">
        <f t="shared" si="16"/>
        <v/>
      </c>
      <c r="H69" s="240"/>
      <c r="I69" s="231"/>
      <c r="J69" s="231"/>
      <c r="K69" s="231"/>
      <c r="L69" s="231"/>
      <c r="M69" s="231"/>
      <c r="N69" s="231"/>
      <c r="O69" s="231"/>
      <c r="P69" s="231"/>
      <c r="Q69" s="231"/>
      <c r="R69" s="231"/>
      <c r="S69" s="231"/>
      <c r="T69" s="236"/>
      <c r="U69" s="236"/>
      <c r="V69" s="240"/>
      <c r="W69" s="231"/>
      <c r="X69" s="234" t="str">
        <f t="shared" si="17"/>
        <v/>
      </c>
      <c r="Y69" s="236"/>
      <c r="Z69" s="240"/>
      <c r="AA69" s="231"/>
      <c r="AB69" s="236" t="str">
        <f t="shared" si="18"/>
        <v/>
      </c>
      <c r="AC69" s="236"/>
      <c r="AD69" s="240"/>
      <c r="AE69" s="231"/>
      <c r="AF69" s="234" t="str">
        <f t="shared" si="19"/>
        <v/>
      </c>
      <c r="AG69" s="243"/>
      <c r="AH69" s="231"/>
      <c r="AI69" s="231"/>
      <c r="AJ69" s="231"/>
      <c r="AK69" s="231"/>
      <c r="AL69" s="231"/>
      <c r="AM69" s="231"/>
      <c r="AN69" s="231"/>
      <c r="AO69" s="231"/>
      <c r="AP69" s="231"/>
      <c r="AQ69" s="231"/>
      <c r="AR69" s="231"/>
      <c r="AS69" s="231"/>
      <c r="AT69" s="231"/>
      <c r="AU69" s="231"/>
      <c r="AV69" s="231"/>
      <c r="AW69" s="231"/>
      <c r="AX69" s="231"/>
      <c r="AY69" s="241"/>
      <c r="AZ69" s="241"/>
      <c r="BA69" s="241"/>
      <c r="BD69" s="239" t="s">
        <v>70</v>
      </c>
      <c r="BG69" s="274">
        <f t="shared" si="21"/>
        <v>0</v>
      </c>
    </row>
    <row r="70" s="211" customFormat="1" ht="17.25" spans="1:61">
      <c r="A70" s="229" t="s">
        <v>377</v>
      </c>
      <c r="B70" s="230" t="s">
        <v>378</v>
      </c>
      <c r="C70" s="231"/>
      <c r="D70" s="231"/>
      <c r="E70" s="231">
        <f>C70+D70</f>
        <v>0</v>
      </c>
      <c r="F70" s="231"/>
      <c r="G70" s="232" t="str">
        <f t="shared" si="16"/>
        <v/>
      </c>
      <c r="H70" s="295"/>
      <c r="I70" s="231"/>
      <c r="J70" s="231"/>
      <c r="K70" s="231"/>
      <c r="L70" s="231"/>
      <c r="M70" s="231"/>
      <c r="N70" s="231"/>
      <c r="O70" s="231"/>
      <c r="P70" s="231"/>
      <c r="Q70" s="231"/>
      <c r="R70" s="231"/>
      <c r="S70" s="231"/>
      <c r="T70" s="236"/>
      <c r="U70" s="236"/>
      <c r="V70" s="240"/>
      <c r="W70" s="231"/>
      <c r="X70" s="234" t="str">
        <f t="shared" si="17"/>
        <v/>
      </c>
      <c r="Y70" s="236"/>
      <c r="Z70" s="240"/>
      <c r="AA70" s="231"/>
      <c r="AB70" s="236" t="str">
        <f t="shared" si="18"/>
        <v/>
      </c>
      <c r="AC70" s="236"/>
      <c r="AD70" s="240"/>
      <c r="AE70" s="231"/>
      <c r="AF70" s="234" t="str">
        <f t="shared" si="19"/>
        <v/>
      </c>
      <c r="AG70" s="243"/>
      <c r="AH70" s="231"/>
      <c r="AI70" s="231"/>
      <c r="AJ70" s="231"/>
      <c r="AK70" s="231"/>
      <c r="AL70" s="231"/>
      <c r="AM70" s="231"/>
      <c r="AN70" s="231"/>
      <c r="AO70" s="231"/>
      <c r="AP70" s="231"/>
      <c r="AQ70" s="231"/>
      <c r="AR70" s="231"/>
      <c r="AS70" s="231"/>
      <c r="AT70" s="231"/>
      <c r="AU70" s="231"/>
      <c r="AV70" s="231"/>
      <c r="AW70" s="231"/>
      <c r="AX70" s="231"/>
      <c r="AY70" s="241"/>
      <c r="AZ70" s="241"/>
      <c r="BA70" s="241"/>
      <c r="BD70" s="239" t="s">
        <v>70</v>
      </c>
      <c r="BG70" s="274">
        <f t="shared" si="21"/>
        <v>0</v>
      </c>
    </row>
    <row r="71" ht="17.25" spans="1:61">
      <c r="A71" s="199" t="s">
        <v>379</v>
      </c>
      <c r="B71" s="200">
        <v>1</v>
      </c>
      <c r="C71" s="201"/>
      <c r="D71" s="201"/>
      <c r="E71" s="202"/>
      <c r="F71" s="202"/>
      <c r="G71" s="203"/>
      <c r="H71" s="204"/>
      <c r="I71" s="204"/>
      <c r="J71" s="204"/>
      <c r="K71" s="204"/>
      <c r="L71" s="204"/>
      <c r="M71" s="202"/>
      <c r="N71" s="202"/>
      <c r="O71" s="202"/>
      <c r="P71" s="202"/>
      <c r="Q71" s="205"/>
      <c r="R71" s="205"/>
      <c r="S71" s="205"/>
      <c r="T71" s="203"/>
      <c r="U71" s="203"/>
      <c r="V71" s="204"/>
      <c r="W71" s="202"/>
      <c r="X71" s="203"/>
      <c r="Y71" s="203"/>
      <c r="Z71" s="204"/>
      <c r="AA71" s="202"/>
      <c r="AB71" s="203"/>
      <c r="AC71" s="203"/>
      <c r="AD71" s="204"/>
      <c r="AE71" s="202"/>
      <c r="AF71" s="202"/>
      <c r="AG71" s="202"/>
      <c r="AH71" s="202"/>
      <c r="AI71" s="203"/>
      <c r="AJ71" s="204"/>
      <c r="AK71" s="204"/>
      <c r="AL71" s="204"/>
      <c r="AM71" s="204"/>
      <c r="AN71" s="204"/>
      <c r="AO71" s="204"/>
      <c r="AP71" s="204"/>
      <c r="AQ71" s="204"/>
      <c r="AR71" s="204"/>
      <c r="AS71" s="204"/>
      <c r="AT71" s="204"/>
      <c r="AU71" s="202"/>
      <c r="AV71" s="203"/>
      <c r="AW71" s="204"/>
      <c r="AX71" s="206"/>
      <c r="AY71" s="204"/>
      <c r="AZ71" s="204"/>
      <c r="BA71" s="204"/>
      <c r="BB71" s="207"/>
      <c r="BG71" s="7"/>
    </row>
    <row r="72" ht="17.25" spans="1:61">
      <c r="A72" s="199" t="s">
        <v>380</v>
      </c>
      <c r="B72" s="200">
        <v>1</v>
      </c>
      <c r="C72" s="201"/>
      <c r="D72" s="201"/>
      <c r="E72" s="202"/>
      <c r="F72" s="202"/>
      <c r="G72" s="203"/>
      <c r="H72" s="204"/>
      <c r="I72" s="204"/>
      <c r="J72" s="204"/>
      <c r="K72" s="204"/>
      <c r="L72" s="204"/>
      <c r="M72" s="202"/>
      <c r="N72" s="202"/>
      <c r="O72" s="202"/>
      <c r="P72" s="202"/>
      <c r="Q72" s="205"/>
      <c r="R72" s="205"/>
      <c r="S72" s="205"/>
      <c r="T72" s="203"/>
      <c r="U72" s="203"/>
      <c r="V72" s="204"/>
      <c r="W72" s="202"/>
      <c r="X72" s="203"/>
      <c r="Y72" s="203"/>
      <c r="Z72" s="204"/>
      <c r="AA72" s="202"/>
      <c r="AB72" s="203"/>
      <c r="AC72" s="203"/>
      <c r="AD72" s="204"/>
      <c r="AE72" s="202"/>
      <c r="AF72" s="202"/>
      <c r="AG72" s="202"/>
      <c r="AH72" s="202"/>
      <c r="AI72" s="203"/>
      <c r="AJ72" s="204"/>
      <c r="AK72" s="204"/>
      <c r="AL72" s="204"/>
      <c r="AM72" s="204"/>
      <c r="AN72" s="204"/>
      <c r="AO72" s="204"/>
      <c r="AP72" s="204"/>
      <c r="AQ72" s="204"/>
      <c r="AR72" s="204"/>
      <c r="AS72" s="204"/>
      <c r="AT72" s="204"/>
      <c r="AU72" s="202"/>
      <c r="AV72" s="203"/>
      <c r="AW72" s="204"/>
      <c r="AX72" s="206"/>
      <c r="AY72" s="204"/>
      <c r="AZ72" s="204"/>
      <c r="BA72" s="204"/>
      <c r="BB72" s="207"/>
      <c r="BG72" s="7"/>
    </row>
    <row r="73" ht="17.25" spans="1:61">
      <c r="A73" s="199" t="s">
        <v>381</v>
      </c>
      <c r="B73" s="200">
        <v>1</v>
      </c>
      <c r="C73" s="201"/>
      <c r="D73" s="201"/>
      <c r="E73" s="202"/>
      <c r="F73" s="202"/>
      <c r="G73" s="203"/>
      <c r="H73" s="204"/>
      <c r="I73" s="204"/>
      <c r="J73" s="204"/>
      <c r="K73" s="204"/>
      <c r="L73" s="204"/>
      <c r="M73" s="202"/>
      <c r="N73" s="202"/>
      <c r="O73" s="202"/>
      <c r="P73" s="202"/>
      <c r="Q73" s="205"/>
      <c r="R73" s="205"/>
      <c r="S73" s="205"/>
      <c r="T73" s="203"/>
      <c r="U73" s="203"/>
      <c r="V73" s="204"/>
      <c r="W73" s="202"/>
      <c r="X73" s="203"/>
      <c r="Y73" s="203"/>
      <c r="Z73" s="204"/>
      <c r="AA73" s="202"/>
      <c r="AB73" s="203"/>
      <c r="AC73" s="203"/>
      <c r="AD73" s="204"/>
      <c r="AE73" s="202"/>
      <c r="AF73" s="202"/>
      <c r="AG73" s="202"/>
      <c r="AH73" s="202"/>
      <c r="AI73" s="203"/>
      <c r="AJ73" s="204"/>
      <c r="AK73" s="204"/>
      <c r="AL73" s="204"/>
      <c r="AM73" s="204"/>
      <c r="AN73" s="204"/>
      <c r="AO73" s="204"/>
      <c r="AP73" s="204"/>
      <c r="AQ73" s="204"/>
      <c r="AR73" s="204"/>
      <c r="AS73" s="204"/>
      <c r="AT73" s="204"/>
      <c r="AU73" s="202"/>
      <c r="AV73" s="203"/>
      <c r="AW73" s="204"/>
      <c r="AX73" s="206"/>
      <c r="AY73" s="204"/>
      <c r="AZ73" s="204"/>
      <c r="BA73" s="204"/>
      <c r="BB73" s="207"/>
      <c r="BG73" s="7"/>
    </row>
    <row r="74" ht="17.25" spans="1:61">
      <c r="A74" s="199"/>
      <c r="B74" s="199" t="s">
        <v>382</v>
      </c>
      <c r="C74" s="199"/>
      <c r="D74" s="199"/>
      <c r="E74" s="208"/>
      <c r="F74" s="208"/>
      <c r="G74" s="203"/>
      <c r="H74" s="204"/>
      <c r="I74" s="204"/>
      <c r="J74" s="204"/>
      <c r="K74" s="204"/>
      <c r="L74" s="204"/>
      <c r="M74" s="208"/>
      <c r="N74" s="208"/>
      <c r="O74" s="208"/>
      <c r="P74" s="208"/>
      <c r="Q74" s="205"/>
      <c r="R74" s="205"/>
      <c r="S74" s="205"/>
      <c r="T74" s="203"/>
      <c r="U74" s="203"/>
      <c r="V74" s="204"/>
      <c r="W74" s="208"/>
      <c r="X74" s="203"/>
      <c r="Y74" s="203"/>
      <c r="Z74" s="204"/>
      <c r="AA74" s="208"/>
      <c r="AB74" s="203"/>
      <c r="AC74" s="203"/>
      <c r="AD74" s="204"/>
      <c r="AE74" s="209"/>
      <c r="AF74" s="208"/>
      <c r="AG74" s="208"/>
      <c r="AH74" s="208"/>
      <c r="AI74" s="203"/>
      <c r="AJ74" s="204"/>
      <c r="AK74" s="204"/>
      <c r="AL74" s="204"/>
      <c r="AM74" s="204"/>
      <c r="AN74" s="204"/>
      <c r="AO74" s="204"/>
      <c r="AP74" s="204"/>
      <c r="AQ74" s="204"/>
      <c r="AR74" s="204"/>
      <c r="AS74" s="204"/>
      <c r="AT74" s="204"/>
      <c r="AU74" s="208"/>
      <c r="AV74" s="203"/>
      <c r="AW74" s="204"/>
      <c r="AX74" s="206"/>
      <c r="AY74" s="204"/>
      <c r="AZ74" s="204"/>
      <c r="BA74" s="204"/>
      <c r="BB74" s="207"/>
      <c r="BG74" s="7"/>
    </row>
    <row r="75" ht="17.25" spans="1:61">
      <c r="BG75" s="7"/>
    </row>
    <row r="76" ht="16.5" spans="1:61">
      <c r="A76" s="210"/>
    </row>
    <row r="77" ht="15.75"/>
  </sheetData>
  <sheetProtection formatCells="0" formatColumns="0" formatRows="0" insertRows="0" insertColumns="0" insertHyperlinks="0" deleteColumns="0" deleteRows="0" sort="0" autoFilter="0" pivotTables="0"/>
  <autoFilter xmlns:etc="http://www.wps.cn/officeDocument/2017/etCustomData" ref="A13:BI76" etc:filterBottomFollowUsedRange="1">
    <extLst/>
  </autoFilter>
  <mergeCells count="18">
    <mergeCell ref="A1:BB1"/>
    <mergeCell ref="I12:L12"/>
    <mergeCell ref="M12:P12"/>
    <mergeCell ref="Q12:S12"/>
    <mergeCell ref="T12:V12"/>
    <mergeCell ref="W12:AF12"/>
    <mergeCell ref="AH12:AI12"/>
    <mergeCell ref="AJ12:AT12"/>
    <mergeCell ref="AU12:AY12"/>
    <mergeCell ref="A76:C76"/>
    <mergeCell ref="A12:A13"/>
    <mergeCell ref="B12:B13"/>
    <mergeCell ref="C12:C13"/>
    <mergeCell ref="D12:D13"/>
    <mergeCell ref="E12:E13"/>
    <mergeCell ref="F12:F13"/>
    <mergeCell ref="G12:G13"/>
    <mergeCell ref="H12:H13"/>
  </mergeCells>
  <printOptions horizontalCentered="1"/>
  <pageMargins left="0.236111111111111" right="0.275" top="0.236111111111111" bottom="0.118055555555556" header="0.156944444444444" footer="0.0784722222222222"/>
  <pageSetup paperSize="9" scale="43" fitToHeight="0" orientation="landscape"/>
  <headerFooter>
    <oddFooter>&amp;C第 &amp;P 页，共 &amp;N 页</oddFooter>
  </headerFooter>
  <colBreaks count="2" manualBreakCount="2">
    <brk id="22" max="69" man="1"/>
    <brk id="33" max="69" man="1"/>
  </col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outlinePr summaryBelow="0" summaryRight="0"/>
  </sheetPr>
  <dimension ref="A1:BC77"/>
  <sheetViews>
    <sheetView view="pageBreakPreview" zoomScale="70" zoomScaleNormal="100" workbookViewId="0">
      <pane xSplit="2" ySplit="13" topLeftCell="AZ24" activePane="bottomRight" state="frozen"/>
      <selection/>
      <selection pane="topRight"/>
      <selection pane="bottomLeft"/>
      <selection pane="bottomRight" activeCell="I13" sqref="I13"/>
    </sheetView>
  </sheetViews>
  <sheetFormatPr defaultColWidth="8.18333333333333" defaultRowHeight="25.05" customHeight="1"/>
  <cols>
    <col min="1" max="1" width="6.75" style="10" customWidth="1"/>
    <col min="2" max="2" width="18.725" style="10" customWidth="1"/>
    <col min="3" max="3" width="9.18333333333333" style="10" customWidth="1"/>
    <col min="4" max="4" width="9.45" style="10" customWidth="1"/>
    <col min="5" max="5" width="8.725" style="11" customWidth="1"/>
    <col min="6" max="6" width="10.1833333333333" style="11" customWidth="1"/>
    <col min="7" max="7" width="12.95" style="12" customWidth="1" outlineLevel="1"/>
    <col min="8" max="8" width="36" style="13" customWidth="1" outlineLevel="1"/>
    <col min="9" max="9" width="11.5416666666667" style="13" customWidth="1" outlineLevel="1"/>
    <col min="10" max="10" width="9" style="13" customWidth="1" outlineLevel="1"/>
    <col min="11" max="11" width="10.8166666666667" style="13" customWidth="1" outlineLevel="1"/>
    <col min="12" max="12" width="10.5416666666667" style="13" customWidth="1" outlineLevel="1"/>
    <col min="13" max="16" width="9.45" style="11" customWidth="1" outlineLevel="3"/>
    <col min="17" max="17" width="9.09166666666667" style="14" customWidth="1" outlineLevel="1"/>
    <col min="18" max="18" width="10.9083333333333" style="14" customWidth="1" outlineLevel="1"/>
    <col min="19" max="19" width="11.25" style="12" customWidth="1"/>
    <col min="20" max="20" width="8.26666666666667" style="12" customWidth="1"/>
    <col min="21" max="21" width="27.45" style="13" customWidth="1" outlineLevel="1"/>
    <col min="22" max="22" width="12.1833333333333" style="11" customWidth="1" outlineLevel="1"/>
    <col min="23" max="23" width="10" style="12" customWidth="1" outlineLevel="1"/>
    <col min="24" max="24" width="11.3666666666667" style="12" customWidth="1" outlineLevel="1"/>
    <col min="25" max="25" width="39.175" style="13" customWidth="1" outlineLevel="1"/>
    <col min="26" max="26" width="11.5416666666667" style="11" customWidth="1" outlineLevel="1"/>
    <col min="27" max="28" width="12.5416666666667" style="12" customWidth="1" outlineLevel="1"/>
    <col min="29" max="29" width="35.8166666666667" style="13" customWidth="1" outlineLevel="1"/>
    <col min="30" max="30" width="12" style="15" customWidth="1" outlineLevel="1"/>
    <col min="31" max="31" width="8.63333333333333" style="11" customWidth="1" outlineLevel="1"/>
    <col min="32" max="32" width="18.2666666666667" style="11" customWidth="1" outlineLevel="1"/>
    <col min="33" max="33" width="10.8166666666667" style="11" customWidth="1"/>
    <col min="34" max="34" width="8.54166666666667" style="12" customWidth="1"/>
    <col min="35" max="35" width="8.54166666666667" style="13" customWidth="1" outlineLevel="1"/>
    <col min="36" max="36" width="7.725" style="13" customWidth="1" outlineLevel="1"/>
    <col min="37" max="37" width="7" style="13" customWidth="1" outlineLevel="1"/>
    <col min="38" max="38" width="8.09166666666667" style="13" customWidth="1" outlineLevel="1"/>
    <col min="39" max="39" width="6.90833333333333" style="13" customWidth="1" outlineLevel="1"/>
    <col min="40" max="41" width="8.26666666666667" style="13" customWidth="1" outlineLevel="1"/>
    <col min="42" max="42" width="7.18333333333333" style="13" customWidth="1" outlineLevel="1"/>
    <col min="43" max="43" width="8.26666666666667" style="13" customWidth="1" outlineLevel="1"/>
    <col min="44" max="44" width="7.18333333333333" style="13" customWidth="1" outlineLevel="1"/>
    <col min="45" max="45" width="8.125" style="13" customWidth="1" outlineLevel="1"/>
    <col min="46" max="46" width="13.3666666666667" style="11" customWidth="1" outlineLevel="2"/>
    <col min="47" max="47" width="14.0916666666667" style="12" customWidth="1" outlineLevel="2"/>
    <col min="48" max="48" width="11.6333333333333" style="13" customWidth="1" outlineLevel="2"/>
    <col min="49" max="49" width="10.45" style="16" customWidth="1"/>
    <col min="50" max="50" width="26.0916666666667" style="13" customWidth="1"/>
    <col min="51" max="51" width="63.375" style="13" customWidth="1"/>
    <col min="52" max="52" width="38.0916666666667" style="13" customWidth="1"/>
    <col min="53" max="53" width="46" style="17" customWidth="1"/>
    <col min="54" max="54" width="38.375" style="15" customWidth="1"/>
    <col min="55" max="16384" width="8.18333333333333" style="15"/>
  </cols>
  <sheetData>
    <row r="1" s="1" customFormat="1" ht="39" customHeight="1" spans="1:55">
      <c r="A1" s="18" t="s">
        <v>383</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row>
    <row r="2" s="2" customFormat="1" ht="21.75" hidden="1" customHeight="1" spans="1:55">
      <c r="A2" s="19" t="s">
        <v>1</v>
      </c>
      <c r="B2" s="19"/>
      <c r="C2" s="20"/>
      <c r="D2" s="20"/>
      <c r="E2" s="21"/>
      <c r="F2" s="22"/>
      <c r="G2" s="23"/>
      <c r="H2" s="24"/>
      <c r="I2" s="24"/>
      <c r="J2" s="24"/>
      <c r="K2" s="24"/>
      <c r="L2" s="24"/>
      <c r="M2" s="25"/>
      <c r="N2" s="25"/>
      <c r="O2" s="25"/>
      <c r="P2" s="25"/>
      <c r="Q2" s="25"/>
      <c r="R2" s="25"/>
      <c r="S2" s="23"/>
      <c r="T2" s="23"/>
      <c r="U2" s="24"/>
      <c r="V2" s="26"/>
      <c r="W2" s="23"/>
      <c r="X2" s="23"/>
      <c r="Y2" s="24"/>
      <c r="Z2" s="26"/>
      <c r="AA2" s="23"/>
      <c r="AB2" s="23"/>
      <c r="AC2" s="24"/>
      <c r="AD2" s="26"/>
      <c r="AE2" s="26"/>
      <c r="AF2" s="26"/>
      <c r="AG2" s="16"/>
      <c r="AH2" s="12"/>
      <c r="AI2" s="27"/>
      <c r="AJ2" s="27"/>
      <c r="AK2" s="27"/>
      <c r="AL2" s="27"/>
      <c r="AM2" s="27"/>
      <c r="AN2" s="27"/>
      <c r="AO2" s="27"/>
      <c r="AP2" s="27"/>
      <c r="AQ2" s="27"/>
      <c r="AR2" s="27"/>
      <c r="AS2" s="27"/>
      <c r="AT2" s="16"/>
      <c r="AU2" s="12"/>
      <c r="AV2" s="13"/>
      <c r="AW2" s="16"/>
      <c r="AX2" s="13"/>
      <c r="AY2" s="13"/>
      <c r="AZ2" s="13"/>
      <c r="BA2" s="28"/>
    </row>
    <row r="3" s="2" customFormat="1" ht="21.75" hidden="1" customHeight="1" spans="1:55">
      <c r="A3" s="29"/>
      <c r="B3" s="19"/>
      <c r="C3" s="20"/>
      <c r="D3" s="20"/>
      <c r="E3" s="21"/>
      <c r="F3" s="22"/>
      <c r="G3" s="23"/>
      <c r="H3" s="24"/>
      <c r="I3" s="24"/>
      <c r="J3" s="24"/>
      <c r="K3" s="24"/>
      <c r="L3" s="24"/>
      <c r="M3" s="25"/>
      <c r="N3" s="25"/>
      <c r="O3" s="25"/>
      <c r="P3" s="25"/>
      <c r="Q3" s="25"/>
      <c r="R3" s="25"/>
      <c r="S3" s="23"/>
      <c r="T3" s="23"/>
      <c r="U3" s="24"/>
      <c r="V3" s="26"/>
      <c r="W3" s="23"/>
      <c r="X3" s="23"/>
      <c r="Y3" s="24"/>
      <c r="Z3" s="26"/>
      <c r="AA3" s="23"/>
      <c r="AB3" s="23"/>
      <c r="AC3" s="24"/>
      <c r="AD3" s="26"/>
      <c r="AE3" s="26"/>
      <c r="AF3" s="26"/>
      <c r="AG3" s="16"/>
      <c r="AH3" s="12"/>
      <c r="AI3" s="27"/>
      <c r="AJ3" s="27"/>
      <c r="AK3" s="27"/>
      <c r="AL3" s="27"/>
      <c r="AM3" s="27"/>
      <c r="AN3" s="27"/>
      <c r="AO3" s="27"/>
      <c r="AP3" s="27"/>
      <c r="AQ3" s="27"/>
      <c r="AR3" s="27"/>
      <c r="AS3" s="27"/>
      <c r="AT3" s="16"/>
      <c r="AU3" s="12"/>
      <c r="AV3" s="13"/>
      <c r="AW3" s="16"/>
      <c r="AX3" s="13"/>
      <c r="AY3" s="13"/>
      <c r="AZ3" s="13"/>
      <c r="BA3" s="28"/>
    </row>
    <row r="4" s="2" customFormat="1" ht="21.75" hidden="1" customHeight="1" spans="1:55">
      <c r="A4" s="19" t="s">
        <v>2</v>
      </c>
      <c r="B4" s="19"/>
      <c r="C4" s="20"/>
      <c r="D4" s="20"/>
      <c r="E4" s="21"/>
      <c r="F4" s="22"/>
      <c r="G4" s="23"/>
      <c r="H4" s="24"/>
      <c r="I4" s="24"/>
      <c r="J4" s="24"/>
      <c r="K4" s="24"/>
      <c r="L4" s="24"/>
      <c r="M4" s="25"/>
      <c r="N4" s="25"/>
      <c r="O4" s="25"/>
      <c r="P4" s="25"/>
      <c r="Q4" s="25"/>
      <c r="R4" s="25"/>
      <c r="S4" s="23"/>
      <c r="T4" s="23"/>
      <c r="U4" s="24"/>
      <c r="V4" s="26"/>
      <c r="W4" s="23"/>
      <c r="X4" s="23"/>
      <c r="Y4" s="24"/>
      <c r="Z4" s="26"/>
      <c r="AA4" s="23"/>
      <c r="AB4" s="23"/>
      <c r="AC4" s="24"/>
      <c r="AD4" s="26"/>
      <c r="AE4" s="26"/>
      <c r="AF4" s="26"/>
      <c r="AG4" s="16"/>
      <c r="AH4" s="12"/>
      <c r="AI4" s="27"/>
      <c r="AJ4" s="27"/>
      <c r="AK4" s="27"/>
      <c r="AL4" s="27"/>
      <c r="AM4" s="27"/>
      <c r="AN4" s="27"/>
      <c r="AO4" s="27"/>
      <c r="AP4" s="27"/>
      <c r="AQ4" s="27"/>
      <c r="AR4" s="27"/>
      <c r="AS4" s="27"/>
      <c r="AT4" s="16"/>
      <c r="AU4" s="12"/>
      <c r="AV4" s="13"/>
      <c r="AW4" s="16"/>
      <c r="AX4" s="13"/>
      <c r="AY4" s="13"/>
      <c r="AZ4" s="13"/>
      <c r="BA4" s="28"/>
    </row>
    <row r="5" s="2" customFormat="1" ht="21.75" hidden="1" customHeight="1" spans="1:55">
      <c r="A5" s="30"/>
      <c r="B5" s="19"/>
      <c r="C5" s="20"/>
      <c r="D5" s="20"/>
      <c r="E5" s="21"/>
      <c r="F5" s="22"/>
      <c r="G5" s="23"/>
      <c r="H5" s="24"/>
      <c r="I5" s="24"/>
      <c r="J5" s="24"/>
      <c r="K5" s="24"/>
      <c r="L5" s="24"/>
      <c r="M5" s="25"/>
      <c r="N5" s="25"/>
      <c r="O5" s="25"/>
      <c r="P5" s="25"/>
      <c r="Q5" s="25"/>
      <c r="R5" s="25"/>
      <c r="S5" s="23"/>
      <c r="T5" s="23"/>
      <c r="U5" s="24"/>
      <c r="V5" s="26"/>
      <c r="W5" s="23"/>
      <c r="X5" s="23"/>
      <c r="Y5" s="24"/>
      <c r="Z5" s="26"/>
      <c r="AA5" s="23"/>
      <c r="AB5" s="23"/>
      <c r="AC5" s="24"/>
      <c r="AD5" s="26"/>
      <c r="AE5" s="26"/>
      <c r="AF5" s="26"/>
      <c r="AG5" s="16"/>
      <c r="AH5" s="12"/>
      <c r="AI5" s="27"/>
      <c r="AJ5" s="27"/>
      <c r="AK5" s="27"/>
      <c r="AL5" s="27"/>
      <c r="AM5" s="27"/>
      <c r="AN5" s="27"/>
      <c r="AO5" s="27"/>
      <c r="AP5" s="27"/>
      <c r="AQ5" s="27"/>
      <c r="AR5" s="27"/>
      <c r="AS5" s="27"/>
      <c r="AT5" s="16"/>
      <c r="AU5" s="12"/>
      <c r="AV5" s="13"/>
      <c r="AW5" s="16"/>
      <c r="AX5" s="13"/>
      <c r="AY5" s="13"/>
      <c r="AZ5" s="13"/>
      <c r="BA5" s="28"/>
    </row>
    <row r="6" s="2" customFormat="1" ht="21.75" hidden="1" customHeight="1" spans="1:55">
      <c r="A6" s="30"/>
      <c r="B6" s="19"/>
      <c r="C6" s="20"/>
      <c r="D6" s="20"/>
      <c r="E6" s="21"/>
      <c r="F6" s="22"/>
      <c r="G6" s="23"/>
      <c r="H6" s="24"/>
      <c r="I6" s="24"/>
      <c r="J6" s="24"/>
      <c r="K6" s="24"/>
      <c r="L6" s="24"/>
      <c r="M6" s="25"/>
      <c r="N6" s="25"/>
      <c r="O6" s="25"/>
      <c r="P6" s="25"/>
      <c r="Q6" s="25"/>
      <c r="R6" s="25"/>
      <c r="S6" s="23"/>
      <c r="T6" s="23"/>
      <c r="U6" s="24"/>
      <c r="V6" s="26"/>
      <c r="W6" s="23"/>
      <c r="X6" s="23"/>
      <c r="Y6" s="24"/>
      <c r="Z6" s="26"/>
      <c r="AA6" s="23"/>
      <c r="AB6" s="23"/>
      <c r="AC6" s="24"/>
      <c r="AD6" s="26"/>
      <c r="AE6" s="26"/>
      <c r="AF6" s="26"/>
      <c r="AG6" s="16"/>
      <c r="AH6" s="12"/>
      <c r="AI6" s="27"/>
      <c r="AJ6" s="27"/>
      <c r="AK6" s="27"/>
      <c r="AL6" s="27"/>
      <c r="AM6" s="27"/>
      <c r="AN6" s="27"/>
      <c r="AO6" s="27"/>
      <c r="AP6" s="27"/>
      <c r="AQ6" s="27"/>
      <c r="AR6" s="27"/>
      <c r="AS6" s="27"/>
      <c r="AT6" s="16"/>
      <c r="AU6" s="12"/>
      <c r="AV6" s="13"/>
      <c r="AW6" s="16"/>
      <c r="AX6" s="13"/>
      <c r="AY6" s="13"/>
      <c r="AZ6" s="13"/>
      <c r="BA6" s="28"/>
    </row>
    <row r="7" s="2" customFormat="1" ht="21.75" hidden="1" customHeight="1" spans="1:55">
      <c r="A7" s="30"/>
      <c r="B7" s="19"/>
      <c r="C7" s="20"/>
      <c r="D7" s="20"/>
      <c r="E7" s="21"/>
      <c r="F7" s="22"/>
      <c r="G7" s="23"/>
      <c r="H7" s="24"/>
      <c r="I7" s="24"/>
      <c r="J7" s="24"/>
      <c r="K7" s="24"/>
      <c r="L7" s="24"/>
      <c r="M7" s="25"/>
      <c r="N7" s="25"/>
      <c r="O7" s="25"/>
      <c r="P7" s="25"/>
      <c r="Q7" s="25"/>
      <c r="R7" s="25"/>
      <c r="S7" s="23"/>
      <c r="T7" s="23"/>
      <c r="U7" s="24"/>
      <c r="V7" s="26"/>
      <c r="W7" s="23"/>
      <c r="X7" s="23"/>
      <c r="Y7" s="24"/>
      <c r="Z7" s="26"/>
      <c r="AA7" s="23"/>
      <c r="AB7" s="23"/>
      <c r="AC7" s="24"/>
      <c r="AD7" s="26"/>
      <c r="AE7" s="26"/>
      <c r="AF7" s="26"/>
      <c r="AG7" s="16"/>
      <c r="AH7" s="12"/>
      <c r="AI7" s="27"/>
      <c r="AJ7" s="27"/>
      <c r="AK7" s="27"/>
      <c r="AL7" s="27"/>
      <c r="AM7" s="27"/>
      <c r="AN7" s="27"/>
      <c r="AO7" s="27"/>
      <c r="AP7" s="27"/>
      <c r="AQ7" s="27"/>
      <c r="AR7" s="27"/>
      <c r="AS7" s="27"/>
      <c r="AT7" s="16"/>
      <c r="AU7" s="12"/>
      <c r="AV7" s="13"/>
      <c r="AW7" s="16"/>
      <c r="AX7" s="13"/>
      <c r="AY7" s="13"/>
      <c r="AZ7" s="13"/>
      <c r="BA7" s="28"/>
    </row>
    <row r="8" s="2" customFormat="1" ht="21.75" hidden="1" customHeight="1" spans="1:55">
      <c r="A8" s="30"/>
      <c r="B8" s="19"/>
      <c r="C8" s="20"/>
      <c r="D8" s="20"/>
      <c r="E8" s="21"/>
      <c r="F8" s="22"/>
      <c r="G8" s="23"/>
      <c r="H8" s="24"/>
      <c r="I8" s="24"/>
      <c r="J8" s="24"/>
      <c r="K8" s="24"/>
      <c r="L8" s="24"/>
      <c r="M8" s="25"/>
      <c r="N8" s="25"/>
      <c r="O8" s="25"/>
      <c r="P8" s="25"/>
      <c r="Q8" s="25"/>
      <c r="R8" s="25"/>
      <c r="S8" s="23"/>
      <c r="T8" s="23"/>
      <c r="U8" s="24"/>
      <c r="V8" s="26"/>
      <c r="W8" s="23"/>
      <c r="X8" s="23"/>
      <c r="Y8" s="24"/>
      <c r="Z8" s="26"/>
      <c r="AA8" s="23"/>
      <c r="AB8" s="23"/>
      <c r="AC8" s="24"/>
      <c r="AD8" s="26"/>
      <c r="AE8" s="26"/>
      <c r="AF8" s="26"/>
      <c r="AG8" s="16"/>
      <c r="AH8" s="12"/>
      <c r="AI8" s="27"/>
      <c r="AJ8" s="27"/>
      <c r="AK8" s="27"/>
      <c r="AL8" s="27"/>
      <c r="AM8" s="27"/>
      <c r="AN8" s="27"/>
      <c r="AO8" s="27"/>
      <c r="AP8" s="27"/>
      <c r="AQ8" s="27"/>
      <c r="AR8" s="27"/>
      <c r="AS8" s="27"/>
      <c r="AT8" s="16"/>
      <c r="AU8" s="12"/>
      <c r="AV8" s="13"/>
      <c r="AW8" s="16"/>
      <c r="AX8" s="13"/>
      <c r="AY8" s="13"/>
      <c r="AZ8" s="13"/>
      <c r="BA8" s="28"/>
    </row>
    <row r="9" s="2" customFormat="1" ht="21.75" hidden="1" customHeight="1" spans="1:55">
      <c r="A9" s="30"/>
      <c r="B9" s="19"/>
      <c r="C9" s="20"/>
      <c r="D9" s="20"/>
      <c r="E9" s="21"/>
      <c r="F9" s="22"/>
      <c r="G9" s="23"/>
      <c r="H9" s="24"/>
      <c r="I9" s="24"/>
      <c r="J9" s="24"/>
      <c r="K9" s="24"/>
      <c r="L9" s="24"/>
      <c r="M9" s="25"/>
      <c r="N9" s="25"/>
      <c r="O9" s="25"/>
      <c r="P9" s="25"/>
      <c r="Q9" s="25"/>
      <c r="R9" s="25"/>
      <c r="S9" s="23"/>
      <c r="T9" s="23"/>
      <c r="U9" s="24"/>
      <c r="V9" s="26"/>
      <c r="W9" s="23"/>
      <c r="X9" s="23"/>
      <c r="Y9" s="24"/>
      <c r="Z9" s="26"/>
      <c r="AA9" s="23"/>
      <c r="AB9" s="23"/>
      <c r="AC9" s="24"/>
      <c r="AD9" s="26"/>
      <c r="AE9" s="26"/>
      <c r="AF9" s="26"/>
      <c r="AG9" s="16"/>
      <c r="AH9" s="12"/>
      <c r="AI9" s="27"/>
      <c r="AJ9" s="27"/>
      <c r="AK9" s="27"/>
      <c r="AL9" s="27"/>
      <c r="AM9" s="27"/>
      <c r="AN9" s="27"/>
      <c r="AO9" s="27"/>
      <c r="AP9" s="27"/>
      <c r="AQ9" s="27"/>
      <c r="AR9" s="27"/>
      <c r="AS9" s="27"/>
      <c r="AT9" s="16"/>
      <c r="AU9" s="12"/>
      <c r="AV9" s="13"/>
      <c r="AW9" s="16"/>
      <c r="AX9" s="13"/>
      <c r="AY9" s="13"/>
      <c r="AZ9" s="13"/>
      <c r="BA9" s="28"/>
    </row>
    <row r="10" s="2" customFormat="1" ht="21.75" hidden="1" customHeight="1" spans="1:55">
      <c r="A10" s="30"/>
      <c r="B10" s="19"/>
      <c r="C10" s="20"/>
      <c r="D10" s="20"/>
      <c r="E10" s="21"/>
      <c r="F10" s="22"/>
      <c r="G10" s="23"/>
      <c r="H10" s="24"/>
      <c r="I10" s="24"/>
      <c r="J10" s="24"/>
      <c r="K10" s="24"/>
      <c r="L10" s="24"/>
      <c r="M10" s="25"/>
      <c r="N10" s="25"/>
      <c r="O10" s="25"/>
      <c r="P10" s="25"/>
      <c r="Q10" s="25"/>
      <c r="R10" s="25"/>
      <c r="S10" s="23"/>
      <c r="T10" s="23"/>
      <c r="U10" s="24"/>
      <c r="V10" s="26"/>
      <c r="W10" s="23"/>
      <c r="X10" s="23"/>
      <c r="Y10" s="24"/>
      <c r="Z10" s="26"/>
      <c r="AA10" s="23"/>
      <c r="AB10" s="23"/>
      <c r="AC10" s="24"/>
      <c r="AD10" s="26"/>
      <c r="AE10" s="26"/>
      <c r="AF10" s="26"/>
      <c r="AG10" s="16"/>
      <c r="AH10" s="12"/>
      <c r="AI10" s="27"/>
      <c r="AJ10" s="27"/>
      <c r="AK10" s="27"/>
      <c r="AL10" s="27"/>
      <c r="AM10" s="27"/>
      <c r="AN10" s="27"/>
      <c r="AO10" s="27"/>
      <c r="AP10" s="27"/>
      <c r="AQ10" s="27"/>
      <c r="AR10" s="27"/>
      <c r="AS10" s="27"/>
      <c r="AT10" s="16"/>
      <c r="AU10" s="12"/>
      <c r="AV10" s="13"/>
      <c r="AW10" s="16"/>
      <c r="AX10" s="13"/>
      <c r="AY10" s="13"/>
      <c r="AZ10" s="13"/>
      <c r="BA10" s="28"/>
    </row>
    <row r="11" s="2" customFormat="1" ht="23.4" customHeight="1" spans="1:55">
      <c r="A11" s="30"/>
      <c r="B11" s="19"/>
      <c r="C11" s="20"/>
      <c r="D11" s="20"/>
      <c r="E11" s="21"/>
      <c r="F11" s="22"/>
      <c r="G11" s="23"/>
      <c r="H11" s="24"/>
      <c r="I11" s="24"/>
      <c r="J11" s="24"/>
      <c r="K11" s="24"/>
      <c r="L11" s="24"/>
      <c r="M11" s="25"/>
      <c r="N11" s="25"/>
      <c r="O11" s="25"/>
      <c r="P11" s="25"/>
      <c r="Q11" s="25"/>
      <c r="R11" s="25"/>
      <c r="S11" s="23"/>
      <c r="T11" s="23"/>
      <c r="U11" s="24"/>
      <c r="V11" s="26"/>
      <c r="W11" s="23"/>
      <c r="X11" s="23"/>
      <c r="Y11" s="24"/>
      <c r="Z11" s="26"/>
      <c r="AA11" s="23"/>
      <c r="AB11" s="23"/>
      <c r="AC11" s="24"/>
      <c r="AD11" s="26"/>
      <c r="AE11" s="26"/>
      <c r="AF11" s="26"/>
      <c r="AG11" s="16"/>
      <c r="AH11" s="12"/>
      <c r="AI11" s="27"/>
      <c r="AJ11" s="27"/>
      <c r="AK11" s="27"/>
      <c r="AL11" s="27"/>
      <c r="AM11" s="27"/>
      <c r="AN11" s="27"/>
      <c r="AO11" s="27"/>
      <c r="AP11" s="27"/>
      <c r="AQ11" s="27"/>
      <c r="AR11" s="27"/>
      <c r="AS11" s="27"/>
      <c r="AT11" s="16"/>
      <c r="AU11" s="12"/>
      <c r="AV11" s="13"/>
      <c r="AW11" s="16"/>
      <c r="AX11" s="13"/>
      <c r="AY11" s="13"/>
      <c r="AZ11" s="13"/>
      <c r="BA11" s="28"/>
    </row>
    <row r="12" s="3" customFormat="1" ht="40.95" customHeight="1" spans="1:55">
      <c r="A12" s="31" t="s">
        <v>3</v>
      </c>
      <c r="B12" s="32" t="s">
        <v>4</v>
      </c>
      <c r="C12" s="33" t="s">
        <v>5</v>
      </c>
      <c r="D12" s="33" t="s">
        <v>6</v>
      </c>
      <c r="E12" s="34" t="s">
        <v>7</v>
      </c>
      <c r="F12" s="34" t="s">
        <v>8</v>
      </c>
      <c r="G12" s="35" t="s">
        <v>9</v>
      </c>
      <c r="H12" s="36" t="s">
        <v>10</v>
      </c>
      <c r="I12" s="37" t="s">
        <v>11</v>
      </c>
      <c r="J12" s="38"/>
      <c r="K12" s="38"/>
      <c r="L12" s="39"/>
      <c r="M12" s="37" t="s">
        <v>12</v>
      </c>
      <c r="N12" s="38"/>
      <c r="O12" s="38"/>
      <c r="P12" s="39"/>
      <c r="Q12" s="40" t="s">
        <v>13</v>
      </c>
      <c r="R12" s="41"/>
      <c r="S12" s="35" t="s">
        <v>14</v>
      </c>
      <c r="T12" s="38"/>
      <c r="U12" s="39"/>
      <c r="V12" s="42" t="s">
        <v>15</v>
      </c>
      <c r="W12" s="38"/>
      <c r="X12" s="38"/>
      <c r="Y12" s="38"/>
      <c r="Z12" s="38"/>
      <c r="AA12" s="38"/>
      <c r="AB12" s="38"/>
      <c r="AC12" s="38"/>
      <c r="AD12" s="38"/>
      <c r="AE12" s="39"/>
      <c r="AF12" s="42"/>
      <c r="AG12" s="43" t="s">
        <v>16</v>
      </c>
      <c r="AH12" s="41"/>
      <c r="AI12" s="33" t="s">
        <v>17</v>
      </c>
      <c r="AJ12" s="38"/>
      <c r="AK12" s="38"/>
      <c r="AL12" s="38"/>
      <c r="AM12" s="38"/>
      <c r="AN12" s="38"/>
      <c r="AO12" s="38"/>
      <c r="AP12" s="38"/>
      <c r="AQ12" s="38"/>
      <c r="AR12" s="38"/>
      <c r="AS12" s="39"/>
      <c r="AT12" s="44" t="s">
        <v>18</v>
      </c>
      <c r="AU12" s="45"/>
      <c r="AV12" s="45"/>
      <c r="AW12" s="45"/>
      <c r="AX12" s="45"/>
      <c r="AY12" s="46" t="s">
        <v>19</v>
      </c>
      <c r="AZ12" s="47" t="s">
        <v>20</v>
      </c>
      <c r="BA12" s="48" t="s">
        <v>21</v>
      </c>
      <c r="BB12" s="3" t="s">
        <v>22</v>
      </c>
      <c r="BC12" s="3" t="s">
        <v>23</v>
      </c>
    </row>
    <row r="13" s="3" customFormat="1" ht="68.25" customHeight="1" spans="1:55">
      <c r="A13" s="49"/>
      <c r="B13" s="49"/>
      <c r="C13" s="49"/>
      <c r="D13" s="49"/>
      <c r="E13" s="49"/>
      <c r="F13" s="49"/>
      <c r="G13" s="49"/>
      <c r="H13" s="49"/>
      <c r="I13" s="40" t="s">
        <v>24</v>
      </c>
      <c r="J13" s="40" t="s">
        <v>25</v>
      </c>
      <c r="K13" s="40" t="s">
        <v>26</v>
      </c>
      <c r="L13" s="40" t="s">
        <v>27</v>
      </c>
      <c r="M13" s="40" t="s">
        <v>28</v>
      </c>
      <c r="N13" s="40" t="s">
        <v>29</v>
      </c>
      <c r="O13" s="40" t="s">
        <v>30</v>
      </c>
      <c r="P13" s="40" t="s">
        <v>31</v>
      </c>
      <c r="Q13" s="40" t="s">
        <v>32</v>
      </c>
      <c r="R13" s="40" t="s">
        <v>33</v>
      </c>
      <c r="S13" s="35" t="s">
        <v>35</v>
      </c>
      <c r="T13" s="33" t="s">
        <v>36</v>
      </c>
      <c r="U13" s="36" t="s">
        <v>37</v>
      </c>
      <c r="V13" s="40" t="s">
        <v>38</v>
      </c>
      <c r="W13" s="33" t="s">
        <v>39</v>
      </c>
      <c r="X13" s="33" t="s">
        <v>40</v>
      </c>
      <c r="Y13" s="36" t="s">
        <v>41</v>
      </c>
      <c r="Z13" s="40" t="s">
        <v>42</v>
      </c>
      <c r="AA13" s="33" t="s">
        <v>43</v>
      </c>
      <c r="AB13" s="50" t="s">
        <v>44</v>
      </c>
      <c r="AC13" s="36" t="s">
        <v>45</v>
      </c>
      <c r="AD13" s="40" t="s">
        <v>46</v>
      </c>
      <c r="AE13" s="33" t="s">
        <v>47</v>
      </c>
      <c r="AF13" s="33" t="s">
        <v>48</v>
      </c>
      <c r="AG13" s="40" t="s">
        <v>49</v>
      </c>
      <c r="AH13" s="40" t="s">
        <v>50</v>
      </c>
      <c r="AI13" s="40" t="s">
        <v>51</v>
      </c>
      <c r="AJ13" s="40" t="s">
        <v>52</v>
      </c>
      <c r="AK13" s="40" t="s">
        <v>53</v>
      </c>
      <c r="AL13" s="40" t="s">
        <v>54</v>
      </c>
      <c r="AM13" s="40" t="s">
        <v>55</v>
      </c>
      <c r="AN13" s="40" t="s">
        <v>56</v>
      </c>
      <c r="AO13" s="40" t="s">
        <v>57</v>
      </c>
      <c r="AP13" s="40" t="s">
        <v>58</v>
      </c>
      <c r="AQ13" s="40" t="s">
        <v>59</v>
      </c>
      <c r="AR13" s="40" t="s">
        <v>60</v>
      </c>
      <c r="AS13" s="40" t="s">
        <v>61</v>
      </c>
      <c r="AT13" s="51" t="s">
        <v>62</v>
      </c>
      <c r="AU13" s="51" t="s">
        <v>63</v>
      </c>
      <c r="AV13" s="51" t="s">
        <v>64</v>
      </c>
      <c r="AW13" s="51" t="s">
        <v>65</v>
      </c>
      <c r="AX13" s="52" t="s">
        <v>66</v>
      </c>
      <c r="AZ13" s="49"/>
      <c r="BC13" s="3" t="s">
        <v>23</v>
      </c>
    </row>
    <row r="14" s="4" customFormat="1" ht="90.75" customHeight="1" spans="1:55">
      <c r="A14" s="53"/>
      <c r="B14" s="54" t="s">
        <v>69</v>
      </c>
      <c r="C14" s="55"/>
      <c r="D14" s="55"/>
      <c r="E14" s="55"/>
      <c r="F14" s="55">
        <f>F16-Q14</f>
        <v>98277.4880389882</v>
      </c>
      <c r="G14" s="56"/>
      <c r="H14" s="57"/>
      <c r="I14" s="57"/>
      <c r="J14" s="57"/>
      <c r="K14" s="57"/>
      <c r="L14" s="57"/>
      <c r="M14" s="55">
        <f t="shared" ref="M14:R14" si="0">M15+M16</f>
        <v>23311.3242866337</v>
      </c>
      <c r="N14" s="55">
        <f t="shared" si="0"/>
        <v>22441.9328209078</v>
      </c>
      <c r="O14" s="55">
        <f t="shared" si="0"/>
        <v>26721.58927591</v>
      </c>
      <c r="P14" s="55">
        <f t="shared" si="0"/>
        <v>37372.3333672518</v>
      </c>
      <c r="Q14" s="55">
        <f t="shared" si="0"/>
        <v>11567.3487765703</v>
      </c>
      <c r="R14" s="55">
        <f t="shared" si="0"/>
        <v>66650.8180389882</v>
      </c>
      <c r="S14" s="58"/>
      <c r="T14" s="58"/>
      <c r="U14" s="58"/>
      <c r="V14" s="55">
        <f>V15+V16</f>
        <v>18240.3095310089</v>
      </c>
      <c r="W14" s="56"/>
      <c r="X14" s="55"/>
      <c r="Y14" s="55"/>
      <c r="Z14" s="55">
        <f>Z15+Z16</f>
        <v>29550.6839414585</v>
      </c>
      <c r="AA14" s="56"/>
      <c r="AB14" s="58"/>
      <c r="AC14" s="55"/>
      <c r="AD14" s="55">
        <f t="shared" ref="AD14:AH14" si="1">AD15+AD16</f>
        <v>18737.7254758333</v>
      </c>
      <c r="AE14" s="56"/>
      <c r="AF14" s="56"/>
      <c r="AG14" s="55">
        <f t="shared" si="1"/>
        <v>-22152.6148192438</v>
      </c>
      <c r="AH14" s="55">
        <f t="shared" si="1"/>
        <v>-14205.9704590625</v>
      </c>
      <c r="AI14" s="55"/>
      <c r="AJ14" s="55"/>
      <c r="AK14" s="55"/>
      <c r="AL14" s="55"/>
      <c r="AM14" s="55"/>
      <c r="AN14" s="55"/>
      <c r="AO14" s="55"/>
      <c r="AP14" s="55"/>
      <c r="AQ14" s="55"/>
      <c r="AR14" s="55"/>
      <c r="AS14" s="55"/>
      <c r="AT14" s="55"/>
      <c r="AU14" s="55"/>
      <c r="AV14" s="55"/>
      <c r="AW14" s="55"/>
      <c r="AX14" s="59"/>
      <c r="AY14" s="60"/>
      <c r="AZ14" s="61"/>
      <c r="BC14" s="11" t="s">
        <v>70</v>
      </c>
    </row>
    <row r="15" s="4" customFormat="1" ht="35.7" customHeight="1" spans="1:55">
      <c r="A15" s="53"/>
      <c r="B15" s="54" t="s">
        <v>71</v>
      </c>
      <c r="C15" s="55"/>
      <c r="D15" s="55"/>
      <c r="E15" s="55"/>
      <c r="F15" s="55"/>
      <c r="G15" s="56"/>
      <c r="H15" s="57"/>
      <c r="I15" s="57"/>
      <c r="J15" s="57"/>
      <c r="K15" s="57"/>
      <c r="L15" s="57"/>
      <c r="M15" s="55"/>
      <c r="N15" s="55"/>
      <c r="O15" s="55"/>
      <c r="P15" s="55"/>
      <c r="Q15" s="55"/>
      <c r="R15" s="55"/>
      <c r="S15" s="58"/>
      <c r="T15" s="58"/>
      <c r="U15" s="58"/>
      <c r="V15" s="55">
        <v>1906</v>
      </c>
      <c r="W15" s="56"/>
      <c r="X15" s="55"/>
      <c r="Y15" s="55"/>
      <c r="Z15" s="55">
        <v>5259</v>
      </c>
      <c r="AA15" s="56"/>
      <c r="AB15" s="58"/>
      <c r="AC15" s="55"/>
      <c r="AD15" s="55"/>
      <c r="AE15" s="56"/>
      <c r="AF15" s="56"/>
      <c r="AG15" s="55">
        <f>-Z15</f>
        <v>-5259</v>
      </c>
      <c r="AH15" s="55"/>
      <c r="AI15" s="55"/>
      <c r="AJ15" s="55"/>
      <c r="AK15" s="55"/>
      <c r="AL15" s="55"/>
      <c r="AM15" s="55"/>
      <c r="AN15" s="55"/>
      <c r="AO15" s="55"/>
      <c r="AP15" s="55"/>
      <c r="AQ15" s="55"/>
      <c r="AR15" s="55"/>
      <c r="AS15" s="55"/>
      <c r="AT15" s="55"/>
      <c r="AU15" s="55"/>
      <c r="AV15" s="55"/>
      <c r="AW15" s="55"/>
      <c r="AX15" s="59"/>
      <c r="AY15" s="60"/>
      <c r="AZ15" s="61"/>
      <c r="BC15" s="11" t="s">
        <v>70</v>
      </c>
    </row>
    <row r="16" s="4" customFormat="1" ht="24" customHeight="1" spans="1:55">
      <c r="A16" s="53"/>
      <c r="B16" s="62" t="s">
        <v>72</v>
      </c>
      <c r="C16" s="55">
        <f t="shared" ref="C16:F16" si="2">C17+C20</f>
        <v>70340.754460212</v>
      </c>
      <c r="D16" s="55">
        <f t="shared" si="2"/>
        <v>16623.5658006212</v>
      </c>
      <c r="E16" s="55">
        <f t="shared" si="2"/>
        <v>86964.3502608333</v>
      </c>
      <c r="F16" s="55">
        <f t="shared" si="2"/>
        <v>109844.836815559</v>
      </c>
      <c r="G16" s="56">
        <f t="shared" ref="G16:G19" si="3">(F16-E16)/E16</f>
        <v>0.263101908840801</v>
      </c>
      <c r="H16" s="57"/>
      <c r="I16" s="55">
        <f t="shared" ref="I16:R16" si="4">I17+I20</f>
        <v>16568.053233319</v>
      </c>
      <c r="J16" s="55">
        <f t="shared" si="4"/>
        <v>21546.9832266324</v>
      </c>
      <c r="K16" s="55">
        <f t="shared" si="4"/>
        <v>24319.8099701631</v>
      </c>
      <c r="L16" s="55">
        <f t="shared" si="4"/>
        <v>24530.7783088931</v>
      </c>
      <c r="M16" s="55">
        <f t="shared" si="4"/>
        <v>23311.3242866337</v>
      </c>
      <c r="N16" s="55">
        <f t="shared" si="4"/>
        <v>22441.9328209078</v>
      </c>
      <c r="O16" s="55">
        <f t="shared" si="4"/>
        <v>26721.58927591</v>
      </c>
      <c r="P16" s="55">
        <f t="shared" si="4"/>
        <v>37372.3333672518</v>
      </c>
      <c r="Q16" s="55">
        <f t="shared" si="4"/>
        <v>11567.3487765703</v>
      </c>
      <c r="R16" s="55">
        <f t="shared" si="4"/>
        <v>66650.8180389882</v>
      </c>
      <c r="S16" s="58"/>
      <c r="T16" s="58"/>
      <c r="U16" s="58"/>
      <c r="V16" s="55">
        <f>V17+V20</f>
        <v>16334.3095310089</v>
      </c>
      <c r="W16" s="56">
        <f t="shared" ref="W16:W19" si="5">V16/F16</f>
        <v>0.148703480332316</v>
      </c>
      <c r="X16" s="55"/>
      <c r="Y16" s="55"/>
      <c r="Z16" s="55">
        <f t="shared" ref="Z16:AE16" si="6">Z17+Z20</f>
        <v>24291.6839414585</v>
      </c>
      <c r="AA16" s="56">
        <f t="shared" ref="AA16:AA19" si="7">Z16/F16</f>
        <v>0.221145432463493</v>
      </c>
      <c r="AB16" s="58"/>
      <c r="AC16" s="55"/>
      <c r="AD16" s="55">
        <f t="shared" si="6"/>
        <v>18737.7254758333</v>
      </c>
      <c r="AE16" s="56">
        <f t="shared" si="6"/>
        <v>0</v>
      </c>
      <c r="AF16" s="56"/>
      <c r="AG16" s="55">
        <f t="shared" ref="AG16:AM16" si="8">AG17+AG20</f>
        <v>-16893.6148192438</v>
      </c>
      <c r="AH16" s="55">
        <f t="shared" si="8"/>
        <v>-14205.9704590625</v>
      </c>
      <c r="AI16" s="55">
        <f t="shared" ref="AI16:AI19" si="9">AJ16+AK16+AL16+AM16+AN16+AS16</f>
        <v>32195.8081308024</v>
      </c>
      <c r="AJ16" s="55">
        <f t="shared" si="8"/>
        <v>8078.36416233333</v>
      </c>
      <c r="AK16" s="55">
        <f t="shared" si="8"/>
        <v>1072.5152</v>
      </c>
      <c r="AL16" s="55">
        <f t="shared" si="8"/>
        <v>1567.51316746903</v>
      </c>
      <c r="AM16" s="55">
        <f t="shared" si="8"/>
        <v>2492.009776</v>
      </c>
      <c r="AN16" s="55">
        <f t="shared" ref="AN16:AN19" si="10">SUM(AO16:AR16)</f>
        <v>17694.419059</v>
      </c>
      <c r="AO16" s="55">
        <f t="shared" ref="AO16:AW16" si="11">AO17+AO20</f>
        <v>3237.307617</v>
      </c>
      <c r="AP16" s="55">
        <f t="shared" si="11"/>
        <v>5579.019913</v>
      </c>
      <c r="AQ16" s="55">
        <f t="shared" si="11"/>
        <v>4253.202883</v>
      </c>
      <c r="AR16" s="55">
        <f t="shared" si="11"/>
        <v>4624.888646</v>
      </c>
      <c r="AS16" s="55">
        <f t="shared" si="11"/>
        <v>1290.986766</v>
      </c>
      <c r="AT16" s="55">
        <f t="shared" si="11"/>
        <v>-1495.62571417284</v>
      </c>
      <c r="AU16" s="55">
        <f t="shared" si="11"/>
        <v>-36401.13</v>
      </c>
      <c r="AV16" s="55">
        <f t="shared" si="11"/>
        <v>-4836</v>
      </c>
      <c r="AW16" s="55">
        <f t="shared" si="11"/>
        <v>30545</v>
      </c>
      <c r="AX16" s="63" t="s">
        <v>73</v>
      </c>
      <c r="AY16" s="64"/>
      <c r="AZ16" s="61"/>
      <c r="BC16" s="11" t="s">
        <v>70</v>
      </c>
    </row>
    <row r="17" s="4" customFormat="1" ht="24" customHeight="1" spans="1:55">
      <c r="A17" s="53"/>
      <c r="B17" s="62" t="s">
        <v>74</v>
      </c>
      <c r="C17" s="55">
        <f>(SUM(C21:C70)-C21-C23-C22-C43)+C21*$B$71+C23*$B$72+C22*$B$73</f>
        <v>70340.754460212</v>
      </c>
      <c r="D17" s="55">
        <f t="shared" ref="D17:F17" si="12">(SUM(D21:D70)-D21-D23-D22)+D21*$B$71+D23*$B$72+D22*$B$73</f>
        <v>16623.5658006212</v>
      </c>
      <c r="E17" s="55">
        <f t="shared" si="12"/>
        <v>86964.3502608333</v>
      </c>
      <c r="F17" s="55">
        <f t="shared" si="12"/>
        <v>109844.836815559</v>
      </c>
      <c r="G17" s="56">
        <f t="shared" si="3"/>
        <v>0.263101908840801</v>
      </c>
      <c r="H17" s="57"/>
      <c r="I17" s="55">
        <f t="shared" ref="I17:R17" si="13">(SUM(I21:I70)-I21-I23-I22)+I21*$B$71+I23*$B$72+I22*$B$73</f>
        <v>16568.053233319</v>
      </c>
      <c r="J17" s="55">
        <f t="shared" si="13"/>
        <v>21546.9832266324</v>
      </c>
      <c r="K17" s="55">
        <f t="shared" si="13"/>
        <v>24319.8099701631</v>
      </c>
      <c r="L17" s="55">
        <f t="shared" si="13"/>
        <v>24530.7783088931</v>
      </c>
      <c r="M17" s="55">
        <f t="shared" si="13"/>
        <v>23311.3242866337</v>
      </c>
      <c r="N17" s="55">
        <f t="shared" si="13"/>
        <v>22441.9328209078</v>
      </c>
      <c r="O17" s="55">
        <f t="shared" si="13"/>
        <v>26721.58927591</v>
      </c>
      <c r="P17" s="55">
        <f t="shared" si="13"/>
        <v>37372.3333672518</v>
      </c>
      <c r="Q17" s="55">
        <f t="shared" si="13"/>
        <v>11567.3487765703</v>
      </c>
      <c r="R17" s="55">
        <f t="shared" si="13"/>
        <v>66650.8180389882</v>
      </c>
      <c r="S17" s="58"/>
      <c r="T17" s="58"/>
      <c r="U17" s="58"/>
      <c r="V17" s="55">
        <f>(SUM(V21:V70)-V21-V23-V22)+V21*$B$71+V23*$B$72+V22*$B$73</f>
        <v>16334.3095310089</v>
      </c>
      <c r="W17" s="56">
        <f t="shared" si="5"/>
        <v>0.148703480332316</v>
      </c>
      <c r="X17" s="55"/>
      <c r="Y17" s="55"/>
      <c r="Z17" s="55">
        <f>(SUM(Z21:Z70)-Z21-Z23-Z22)+Z21*$B$71+Z23*$B$72+Z22*$B$73</f>
        <v>24291.6839414585</v>
      </c>
      <c r="AA17" s="56">
        <f t="shared" si="7"/>
        <v>0.221145432463493</v>
      </c>
      <c r="AB17" s="58"/>
      <c r="AC17" s="55"/>
      <c r="AD17" s="55">
        <f t="shared" ref="AD17:AH17" si="14">(SUM(AD21:AD70)-AD21-AD23-AD22)+AD21*$B$71+AD23*$B$72+AD22*$B$73</f>
        <v>18737.7254758333</v>
      </c>
      <c r="AE17" s="56">
        <f t="shared" ref="AE17:AE19" si="15">AC17/E17</f>
        <v>0</v>
      </c>
      <c r="AF17" s="56"/>
      <c r="AG17" s="55">
        <f t="shared" si="14"/>
        <v>-16893.6148192438</v>
      </c>
      <c r="AH17" s="55">
        <f t="shared" si="14"/>
        <v>-14205.9704590625</v>
      </c>
      <c r="AI17" s="55">
        <f t="shared" si="9"/>
        <v>32195.8081308024</v>
      </c>
      <c r="AJ17" s="55">
        <f t="shared" ref="AJ17:AM17" si="16">(SUM(AJ21:AJ70)-AJ21-AJ23-AJ22)+AJ21*$B$71+AJ23*$B$72+AJ22*$B$73</f>
        <v>8078.36416233333</v>
      </c>
      <c r="AK17" s="55">
        <f t="shared" si="16"/>
        <v>1072.5152</v>
      </c>
      <c r="AL17" s="55">
        <f t="shared" si="16"/>
        <v>1567.51316746903</v>
      </c>
      <c r="AM17" s="55">
        <f t="shared" si="16"/>
        <v>2492.009776</v>
      </c>
      <c r="AN17" s="55">
        <f t="shared" si="10"/>
        <v>17694.419059</v>
      </c>
      <c r="AO17" s="55">
        <f t="shared" ref="AO17:AW17" si="17">(SUM(AO21:AO70)-AO21-AO23-AO22)+AO21*$B$71+AO23*$B$72+AO22*$B$73</f>
        <v>3237.307617</v>
      </c>
      <c r="AP17" s="55">
        <f t="shared" si="17"/>
        <v>5579.019913</v>
      </c>
      <c r="AQ17" s="55">
        <f t="shared" si="17"/>
        <v>4253.202883</v>
      </c>
      <c r="AR17" s="55">
        <f t="shared" si="17"/>
        <v>4624.888646</v>
      </c>
      <c r="AS17" s="55">
        <f t="shared" si="17"/>
        <v>1290.986766</v>
      </c>
      <c r="AT17" s="55">
        <f t="shared" si="17"/>
        <v>-1495.62571417284</v>
      </c>
      <c r="AU17" s="55">
        <f t="shared" si="17"/>
        <v>-36401.13</v>
      </c>
      <c r="AV17" s="55">
        <f t="shared" si="17"/>
        <v>-4836</v>
      </c>
      <c r="AW17" s="55">
        <f t="shared" si="17"/>
        <v>30545</v>
      </c>
      <c r="AX17" s="59" t="s">
        <v>73</v>
      </c>
      <c r="AY17" s="64"/>
      <c r="AZ17" s="61"/>
      <c r="BC17" s="11" t="s">
        <v>70</v>
      </c>
    </row>
    <row r="18" s="4" customFormat="1" ht="24" customHeight="1" spans="1:55">
      <c r="A18" s="53"/>
      <c r="B18" s="62" t="s">
        <v>75</v>
      </c>
      <c r="C18" s="55">
        <f t="shared" ref="C18:F18" si="18">C21*$B$71+C22*$B$72+C23*$B$73+C43*$B$72+C66*$B$71</f>
        <v>47008</v>
      </c>
      <c r="D18" s="55">
        <f t="shared" si="18"/>
        <v>10472.43</v>
      </c>
      <c r="E18" s="55">
        <f t="shared" si="18"/>
        <v>57480.43</v>
      </c>
      <c r="F18" s="55">
        <f t="shared" si="18"/>
        <v>58810.83</v>
      </c>
      <c r="G18" s="56">
        <f t="shared" si="3"/>
        <v>0.0231452687462498</v>
      </c>
      <c r="H18" s="57"/>
      <c r="I18" s="55">
        <f t="shared" ref="I18:L18" si="19">I21*$B$71+I22*$B$72+I23*$B$73+I43*$B$72+I66*$B$71</f>
        <v>9502.35</v>
      </c>
      <c r="J18" s="55">
        <f t="shared" si="19"/>
        <v>14168.63</v>
      </c>
      <c r="K18" s="55">
        <f t="shared" si="19"/>
        <v>17675.32</v>
      </c>
      <c r="L18" s="55">
        <f t="shared" si="19"/>
        <v>16134.04</v>
      </c>
      <c r="M18" s="55">
        <f t="shared" ref="M18:R18" si="20">M21*$B$71+M22*$B$72+M23*$B$73+M43*$B$72</f>
        <v>5767.99</v>
      </c>
      <c r="N18" s="55">
        <f t="shared" si="20"/>
        <v>5767.99</v>
      </c>
      <c r="O18" s="55">
        <f t="shared" si="20"/>
        <v>5767.99</v>
      </c>
      <c r="P18" s="55">
        <f t="shared" si="20"/>
        <v>14299.99</v>
      </c>
      <c r="Q18" s="55">
        <f t="shared" si="20"/>
        <v>0</v>
      </c>
      <c r="R18" s="55">
        <f t="shared" si="20"/>
        <v>0</v>
      </c>
      <c r="S18" s="58"/>
      <c r="T18" s="58"/>
      <c r="U18" s="58"/>
      <c r="V18" s="55">
        <f>+V21*$B$71+V23*$B$72+V22*$B$73+V24*$B$72</f>
        <v>2889.03</v>
      </c>
      <c r="W18" s="56">
        <f t="shared" si="5"/>
        <v>0.0491241154052748</v>
      </c>
      <c r="X18" s="55"/>
      <c r="Y18" s="55"/>
      <c r="Z18" s="55">
        <f>+Z21*$B$71+Z23*$B$72+Z22*$B$73+Z24*$B$72</f>
        <v>6839.88</v>
      </c>
      <c r="AA18" s="56">
        <f t="shared" si="7"/>
        <v>0.116303068669495</v>
      </c>
      <c r="AB18" s="58"/>
      <c r="AC18" s="55"/>
      <c r="AD18" s="55">
        <f t="shared" ref="AD18:AH18" si="21">+AD21*$B$71+AD23*$B$72+AD22*$B$73+AD24*$B$72</f>
        <v>7852.58</v>
      </c>
      <c r="AE18" s="56">
        <f t="shared" si="15"/>
        <v>0</v>
      </c>
      <c r="AF18" s="56"/>
      <c r="AG18" s="55">
        <f t="shared" si="21"/>
        <v>-3352.83</v>
      </c>
      <c r="AH18" s="55">
        <f t="shared" si="21"/>
        <v>1457</v>
      </c>
      <c r="AI18" s="55">
        <f t="shared" si="9"/>
        <v>786.38</v>
      </c>
      <c r="AJ18" s="55">
        <f t="shared" ref="AJ18:AM18" si="22">+AJ21*$B$71+AJ23*$B$72+AJ22*$B$73+AJ24*$B$72</f>
        <v>362.38</v>
      </c>
      <c r="AK18" s="55">
        <f t="shared" si="22"/>
        <v>0</v>
      </c>
      <c r="AL18" s="55">
        <f t="shared" si="22"/>
        <v>0</v>
      </c>
      <c r="AM18" s="55">
        <f t="shared" si="22"/>
        <v>0</v>
      </c>
      <c r="AN18" s="55">
        <f t="shared" si="10"/>
        <v>424</v>
      </c>
      <c r="AO18" s="55">
        <f t="shared" ref="AO18:AW18" si="23">+AO21*$B$71+AO23*$B$72+AO22*$B$73+AO24*$B$72</f>
        <v>0</v>
      </c>
      <c r="AP18" s="55">
        <f t="shared" si="23"/>
        <v>0</v>
      </c>
      <c r="AQ18" s="55">
        <f t="shared" si="23"/>
        <v>323</v>
      </c>
      <c r="AR18" s="55">
        <f t="shared" si="23"/>
        <v>101</v>
      </c>
      <c r="AS18" s="55">
        <f t="shared" si="23"/>
        <v>0</v>
      </c>
      <c r="AT18" s="55">
        <f t="shared" si="23"/>
        <v>-54</v>
      </c>
      <c r="AU18" s="55">
        <f t="shared" si="23"/>
        <v>0</v>
      </c>
      <c r="AV18" s="55">
        <f t="shared" si="23"/>
        <v>0</v>
      </c>
      <c r="AW18" s="55">
        <f t="shared" si="23"/>
        <v>0</v>
      </c>
      <c r="AX18" s="59" t="s">
        <v>73</v>
      </c>
      <c r="AY18" s="65"/>
      <c r="AZ18" s="61"/>
      <c r="BC18" s="11" t="s">
        <v>70</v>
      </c>
    </row>
    <row r="19" s="4" customFormat="1" ht="24" customHeight="1" spans="1:55">
      <c r="A19" s="53"/>
      <c r="B19" s="62" t="s">
        <v>76</v>
      </c>
      <c r="C19" s="55">
        <f t="shared" ref="C19:F19" si="24">C17-C18</f>
        <v>23332.754460212</v>
      </c>
      <c r="D19" s="55">
        <f t="shared" si="24"/>
        <v>6151.13580062122</v>
      </c>
      <c r="E19" s="55">
        <f t="shared" si="24"/>
        <v>29483.9202608333</v>
      </c>
      <c r="F19" s="55">
        <f t="shared" si="24"/>
        <v>51034.0068155585</v>
      </c>
      <c r="G19" s="56">
        <f t="shared" si="3"/>
        <v>0.730909809960129</v>
      </c>
      <c r="H19" s="57"/>
      <c r="I19" s="55">
        <f t="shared" ref="I19:R19" si="25">I17-I18</f>
        <v>7065.70323331901</v>
      </c>
      <c r="J19" s="55">
        <f t="shared" si="25"/>
        <v>7378.3532266324</v>
      </c>
      <c r="K19" s="55">
        <f t="shared" si="25"/>
        <v>6644.48997016314</v>
      </c>
      <c r="L19" s="55">
        <f t="shared" si="25"/>
        <v>8396.73830889313</v>
      </c>
      <c r="M19" s="55">
        <f t="shared" si="25"/>
        <v>17543.3342866337</v>
      </c>
      <c r="N19" s="55">
        <f t="shared" si="25"/>
        <v>16673.9428209078</v>
      </c>
      <c r="O19" s="55">
        <f t="shared" si="25"/>
        <v>20953.59927591</v>
      </c>
      <c r="P19" s="55">
        <f t="shared" si="25"/>
        <v>23072.3433672518</v>
      </c>
      <c r="Q19" s="55">
        <f t="shared" si="25"/>
        <v>11567.3487765703</v>
      </c>
      <c r="R19" s="55">
        <f t="shared" si="25"/>
        <v>66650.8180389882</v>
      </c>
      <c r="S19" s="58"/>
      <c r="T19" s="58"/>
      <c r="U19" s="58"/>
      <c r="V19" s="55">
        <f>V17-V18</f>
        <v>13445.2795310089</v>
      </c>
      <c r="W19" s="56">
        <f t="shared" si="5"/>
        <v>0.26345725860016</v>
      </c>
      <c r="X19" s="55"/>
      <c r="Y19" s="55"/>
      <c r="Z19" s="55">
        <f>Z17-Z18</f>
        <v>17451.8039414585</v>
      </c>
      <c r="AA19" s="56">
        <f t="shared" si="7"/>
        <v>0.341964212305157</v>
      </c>
      <c r="AB19" s="58"/>
      <c r="AC19" s="55"/>
      <c r="AD19" s="55">
        <f t="shared" ref="AD19:AH19" si="26">AD17-AD18</f>
        <v>10885.1454758333</v>
      </c>
      <c r="AE19" s="56">
        <f t="shared" si="15"/>
        <v>0</v>
      </c>
      <c r="AF19" s="56"/>
      <c r="AG19" s="55">
        <f t="shared" si="26"/>
        <v>-13540.7848192438</v>
      </c>
      <c r="AH19" s="55">
        <f t="shared" si="26"/>
        <v>-15662.9704590625</v>
      </c>
      <c r="AI19" s="55">
        <f t="shared" si="9"/>
        <v>31409.4281308024</v>
      </c>
      <c r="AJ19" s="55">
        <f t="shared" ref="AJ19:AM19" si="27">AJ17-AJ18</f>
        <v>7715.98416233333</v>
      </c>
      <c r="AK19" s="55">
        <f t="shared" si="27"/>
        <v>1072.5152</v>
      </c>
      <c r="AL19" s="55">
        <f t="shared" si="27"/>
        <v>1567.51316746903</v>
      </c>
      <c r="AM19" s="55">
        <f t="shared" si="27"/>
        <v>2492.009776</v>
      </c>
      <c r="AN19" s="55">
        <f t="shared" si="10"/>
        <v>17270.419059</v>
      </c>
      <c r="AO19" s="55">
        <f t="shared" ref="AO19:AW19" si="28">AO17-AO18</f>
        <v>3237.307617</v>
      </c>
      <c r="AP19" s="55">
        <f t="shared" si="28"/>
        <v>5579.019913</v>
      </c>
      <c r="AQ19" s="55">
        <f t="shared" si="28"/>
        <v>3930.202883</v>
      </c>
      <c r="AR19" s="55">
        <f t="shared" si="28"/>
        <v>4523.888646</v>
      </c>
      <c r="AS19" s="55">
        <f t="shared" si="28"/>
        <v>1290.986766</v>
      </c>
      <c r="AT19" s="55">
        <f t="shared" si="28"/>
        <v>-1441.62571417284</v>
      </c>
      <c r="AU19" s="55">
        <f t="shared" si="28"/>
        <v>-36401.13</v>
      </c>
      <c r="AV19" s="55">
        <f t="shared" si="28"/>
        <v>-4836</v>
      </c>
      <c r="AW19" s="55">
        <f t="shared" si="28"/>
        <v>30545</v>
      </c>
      <c r="AX19" s="59" t="s">
        <v>73</v>
      </c>
      <c r="AY19" s="65"/>
      <c r="AZ19" s="61"/>
      <c r="BC19" s="11" t="s">
        <v>70</v>
      </c>
    </row>
    <row r="20" s="5" customFormat="1" ht="26.4" customHeight="1" spans="1:55">
      <c r="A20" s="66" t="s">
        <v>77</v>
      </c>
      <c r="B20" s="67" t="s">
        <v>78</v>
      </c>
      <c r="C20" s="68"/>
      <c r="D20" s="68"/>
      <c r="E20" s="68"/>
      <c r="F20" s="68"/>
      <c r="G20" s="69"/>
      <c r="H20" s="69"/>
      <c r="I20" s="70"/>
      <c r="J20" s="70"/>
      <c r="K20" s="68"/>
      <c r="L20" s="68"/>
      <c r="M20" s="71"/>
      <c r="N20" s="71"/>
      <c r="O20" s="71"/>
      <c r="P20" s="68"/>
      <c r="Q20" s="68"/>
      <c r="R20" s="68"/>
      <c r="S20" s="69"/>
      <c r="T20" s="69"/>
      <c r="U20" s="71"/>
      <c r="V20" s="68"/>
      <c r="W20" s="71"/>
      <c r="X20" s="69"/>
      <c r="Y20" s="71"/>
      <c r="Z20" s="71"/>
      <c r="AA20" s="69"/>
      <c r="AB20" s="69"/>
      <c r="AC20" s="72"/>
      <c r="AD20" s="70"/>
      <c r="AE20" s="73"/>
      <c r="AF20" s="73"/>
      <c r="AG20" s="70"/>
      <c r="AH20" s="70"/>
      <c r="AI20" s="68"/>
      <c r="AJ20" s="68"/>
      <c r="AK20" s="71"/>
      <c r="AL20" s="71"/>
      <c r="AM20" s="71"/>
      <c r="AN20" s="68"/>
      <c r="AO20" s="68"/>
      <c r="AP20" s="68"/>
      <c r="AQ20" s="68"/>
      <c r="AR20" s="68"/>
      <c r="AS20" s="72"/>
      <c r="AT20" s="72"/>
      <c r="AU20" s="72"/>
      <c r="AV20" s="72"/>
      <c r="AW20" s="72"/>
      <c r="AX20" s="74"/>
      <c r="AY20" s="74"/>
      <c r="AZ20" s="75"/>
    </row>
    <row r="21" s="6" customFormat="1" ht="49.05" customHeight="1" spans="1:55">
      <c r="A21" s="66" t="s">
        <v>82</v>
      </c>
      <c r="B21" s="76" t="s">
        <v>83</v>
      </c>
      <c r="C21" s="72">
        <v>29003</v>
      </c>
      <c r="D21" s="72">
        <f>E21-C21</f>
        <v>5824</v>
      </c>
      <c r="E21" s="72">
        <v>34827</v>
      </c>
      <c r="F21" s="72">
        <v>31603</v>
      </c>
      <c r="G21" s="77">
        <f>(F21-E21)/E21</f>
        <v>-0.0925718551698395</v>
      </c>
      <c r="H21" s="78" t="s">
        <v>84</v>
      </c>
      <c r="I21" s="72">
        <v>6435.26</v>
      </c>
      <c r="J21" s="72">
        <v>9543.04</v>
      </c>
      <c r="K21" s="72">
        <v>9992.39</v>
      </c>
      <c r="L21" s="72">
        <v>8856.22</v>
      </c>
      <c r="M21" s="72">
        <v>5767.99</v>
      </c>
      <c r="N21" s="72">
        <v>5767.99</v>
      </c>
      <c r="O21" s="72">
        <v>5767.99</v>
      </c>
      <c r="P21" s="72">
        <v>14299.99</v>
      </c>
      <c r="Q21" s="72"/>
      <c r="R21" s="72"/>
      <c r="S21" s="69">
        <v>0.41</v>
      </c>
      <c r="T21" s="69">
        <v>0.36</v>
      </c>
      <c r="U21" s="72"/>
      <c r="V21" s="72">
        <v>2888.03</v>
      </c>
      <c r="W21" s="77">
        <f>V21/F21</f>
        <v>0.0913846786697465</v>
      </c>
      <c r="X21" s="79">
        <v>0.08</v>
      </c>
      <c r="Y21" s="72"/>
      <c r="Z21" s="72">
        <v>6717.88</v>
      </c>
      <c r="AA21" s="77">
        <f>Z21/F21</f>
        <v>0.212570958453311</v>
      </c>
      <c r="AB21" s="79">
        <v>0.24</v>
      </c>
      <c r="AC21" s="72"/>
      <c r="AD21" s="72">
        <v>7490.58</v>
      </c>
      <c r="AE21" s="77">
        <f>AD21/E21</f>
        <v>0.215079679558963</v>
      </c>
      <c r="AF21" s="73"/>
      <c r="AG21" s="72">
        <v>-3265.83</v>
      </c>
      <c r="AH21" s="80">
        <v>1813</v>
      </c>
      <c r="AI21" s="80"/>
      <c r="AJ21" s="80"/>
      <c r="AK21" s="80"/>
      <c r="AL21" s="80"/>
      <c r="AM21" s="80"/>
      <c r="AN21" s="80"/>
      <c r="AO21" s="80"/>
      <c r="AP21" s="80"/>
      <c r="AQ21" s="80"/>
      <c r="AR21" s="80"/>
      <c r="AS21" s="80"/>
      <c r="AT21" s="80"/>
      <c r="AU21" s="80"/>
      <c r="AV21" s="80"/>
      <c r="AW21" s="80"/>
      <c r="AX21" s="81"/>
      <c r="AY21" s="82"/>
      <c r="AZ21" s="74"/>
      <c r="BB21" s="6" t="s">
        <v>92</v>
      </c>
      <c r="BC21" s="11" t="s">
        <v>70</v>
      </c>
    </row>
    <row r="22" s="6" customFormat="1" ht="26.4" customHeight="1" spans="1:55">
      <c r="A22" s="66" t="s">
        <v>93</v>
      </c>
      <c r="B22" s="76" t="s">
        <v>94</v>
      </c>
      <c r="C22" s="72"/>
      <c r="D22" s="72"/>
      <c r="E22" s="72"/>
      <c r="F22" s="72"/>
      <c r="G22" s="69"/>
      <c r="H22" s="72"/>
      <c r="I22" s="72"/>
      <c r="J22" s="72"/>
      <c r="K22" s="72"/>
      <c r="L22" s="72"/>
      <c r="M22" s="72"/>
      <c r="N22" s="72"/>
      <c r="O22" s="72"/>
      <c r="P22" s="72"/>
      <c r="Q22" s="72"/>
      <c r="R22" s="72"/>
      <c r="S22" s="69"/>
      <c r="T22" s="69"/>
      <c r="U22" s="72"/>
      <c r="V22" s="72"/>
      <c r="W22" s="73"/>
      <c r="X22" s="69"/>
      <c r="Y22" s="72"/>
      <c r="Z22" s="72"/>
      <c r="AA22" s="69"/>
      <c r="AB22" s="69"/>
      <c r="AC22" s="72"/>
      <c r="AD22" s="72"/>
      <c r="AE22" s="73"/>
      <c r="AF22" s="73"/>
      <c r="AG22" s="83"/>
      <c r="AH22" s="84"/>
      <c r="AI22" s="84"/>
      <c r="AJ22" s="84"/>
      <c r="AK22" s="84"/>
      <c r="AL22" s="84"/>
      <c r="AM22" s="84"/>
      <c r="AN22" s="84"/>
      <c r="AO22" s="84"/>
      <c r="AP22" s="84"/>
      <c r="AQ22" s="84"/>
      <c r="AR22" s="84"/>
      <c r="AS22" s="84"/>
      <c r="AT22" s="84"/>
      <c r="AU22" s="84"/>
      <c r="AV22" s="84"/>
      <c r="AW22" s="84"/>
      <c r="AX22" s="85"/>
      <c r="AY22" s="82"/>
      <c r="AZ22" s="74"/>
      <c r="BC22" s="11" t="s">
        <v>70</v>
      </c>
    </row>
    <row r="23" s="6" customFormat="1" ht="26.4" customHeight="1" spans="1:55">
      <c r="A23" s="66" t="s">
        <v>100</v>
      </c>
      <c r="B23" s="86" t="s">
        <v>101</v>
      </c>
      <c r="C23" s="72"/>
      <c r="D23" s="72"/>
      <c r="E23" s="72"/>
      <c r="F23" s="72"/>
      <c r="G23" s="69"/>
      <c r="H23" s="72"/>
      <c r="I23" s="72"/>
      <c r="J23" s="72"/>
      <c r="K23" s="72"/>
      <c r="L23" s="72"/>
      <c r="M23" s="72"/>
      <c r="N23" s="72"/>
      <c r="O23" s="72"/>
      <c r="P23" s="72"/>
      <c r="Q23" s="72"/>
      <c r="R23" s="72"/>
      <c r="S23" s="69"/>
      <c r="T23" s="69"/>
      <c r="U23" s="72"/>
      <c r="V23" s="72"/>
      <c r="W23" s="73"/>
      <c r="X23" s="69"/>
      <c r="Y23" s="72"/>
      <c r="Z23" s="72"/>
      <c r="AA23" s="69"/>
      <c r="AB23" s="69"/>
      <c r="AC23" s="72"/>
      <c r="AD23" s="72"/>
      <c r="AE23" s="73"/>
      <c r="AF23" s="73"/>
      <c r="AG23" s="83"/>
      <c r="AH23" s="84"/>
      <c r="AI23" s="84"/>
      <c r="AJ23" s="84">
        <v>359</v>
      </c>
      <c r="AK23" s="84"/>
      <c r="AL23" s="84"/>
      <c r="AM23" s="84"/>
      <c r="AN23" s="84"/>
      <c r="AO23" s="84"/>
      <c r="AP23" s="84"/>
      <c r="AQ23" s="84"/>
      <c r="AR23" s="84"/>
      <c r="AS23" s="84"/>
      <c r="AT23" s="84"/>
      <c r="AU23" s="84"/>
      <c r="AV23" s="84"/>
      <c r="AW23" s="84"/>
      <c r="AX23" s="85"/>
      <c r="AY23" s="87"/>
      <c r="AZ23" s="74"/>
      <c r="BC23" s="11" t="s">
        <v>70</v>
      </c>
    </row>
    <row r="24" s="7" customFormat="1" ht="126.3" customHeight="1" spans="1:55">
      <c r="A24" s="66" t="s">
        <v>102</v>
      </c>
      <c r="B24" s="88" t="s">
        <v>103</v>
      </c>
      <c r="C24" s="72">
        <v>621</v>
      </c>
      <c r="D24" s="72">
        <v>275</v>
      </c>
      <c r="E24" s="72">
        <f>C24+D24</f>
        <v>896</v>
      </c>
      <c r="F24" s="72">
        <v>1750</v>
      </c>
      <c r="G24" s="69">
        <f>(F24-E24)/E24*100%</f>
        <v>0.953125</v>
      </c>
      <c r="H24" s="89" t="s">
        <v>104</v>
      </c>
      <c r="I24" s="90">
        <v>202.7225711178</v>
      </c>
      <c r="J24" s="90">
        <v>189.562810685</v>
      </c>
      <c r="K24" s="90">
        <v>207.842516</v>
      </c>
      <c r="L24" s="90">
        <v>296.589117</v>
      </c>
      <c r="M24" s="90">
        <v>147.5</v>
      </c>
      <c r="N24" s="90">
        <v>408.0084</v>
      </c>
      <c r="O24" s="90">
        <v>573.876</v>
      </c>
      <c r="P24" s="90">
        <v>621.1</v>
      </c>
      <c r="Q24" s="90">
        <v>1621.85</v>
      </c>
      <c r="R24" s="90">
        <v>101.7</v>
      </c>
      <c r="S24" s="69">
        <v>0.07</v>
      </c>
      <c r="T24" s="69">
        <v>0.23</v>
      </c>
      <c r="U24" s="90"/>
      <c r="V24" s="90">
        <v>1</v>
      </c>
      <c r="W24" s="69">
        <v>0</v>
      </c>
      <c r="X24" s="69">
        <v>0</v>
      </c>
      <c r="Y24" s="90"/>
      <c r="Z24" s="90">
        <v>122</v>
      </c>
      <c r="AA24" s="69">
        <v>0.07</v>
      </c>
      <c r="AB24" s="69">
        <v>0.14</v>
      </c>
      <c r="AC24" s="90"/>
      <c r="AD24" s="90">
        <v>362</v>
      </c>
      <c r="AE24" s="69">
        <v>0.21</v>
      </c>
      <c r="AF24" s="69"/>
      <c r="AG24" s="83">
        <v>-87</v>
      </c>
      <c r="AH24" s="84">
        <v>-356</v>
      </c>
      <c r="AI24" s="84">
        <f>SUM(AJ24:AN24)</f>
        <v>427.38</v>
      </c>
      <c r="AJ24" s="84">
        <v>3.38</v>
      </c>
      <c r="AK24" s="84">
        <v>0</v>
      </c>
      <c r="AL24" s="84">
        <v>0</v>
      </c>
      <c r="AM24" s="84">
        <v>0</v>
      </c>
      <c r="AN24" s="84">
        <f>SUM(AO24:AS24)</f>
        <v>424</v>
      </c>
      <c r="AO24" s="84"/>
      <c r="AP24" s="84"/>
      <c r="AQ24" s="84">
        <v>323</v>
      </c>
      <c r="AR24" s="84">
        <v>101</v>
      </c>
      <c r="AS24" s="84"/>
      <c r="AT24" s="84">
        <v>-54</v>
      </c>
      <c r="AU24" s="84">
        <v>0</v>
      </c>
      <c r="AV24" s="84">
        <v>0</v>
      </c>
      <c r="AW24" s="84">
        <v>0</v>
      </c>
      <c r="AX24" s="91"/>
      <c r="AY24" s="92" t="s">
        <v>384</v>
      </c>
      <c r="AZ24" s="93" t="s">
        <v>385</v>
      </c>
      <c r="BB24" s="94" t="s">
        <v>386</v>
      </c>
    </row>
    <row r="25" s="6" customFormat="1" ht="172.5" customHeight="1" spans="1:55">
      <c r="A25" s="66" t="s">
        <v>112</v>
      </c>
      <c r="B25" s="76" t="s">
        <v>113</v>
      </c>
      <c r="C25" s="95">
        <v>424.390845</v>
      </c>
      <c r="D25" s="95">
        <v>104.6314</v>
      </c>
      <c r="E25" s="95">
        <v>529.022245</v>
      </c>
      <c r="F25" s="96">
        <v>1210.307</v>
      </c>
      <c r="G25" s="97">
        <v>1.28781872868125</v>
      </c>
      <c r="H25" s="98" t="s">
        <v>114</v>
      </c>
      <c r="I25" s="99">
        <v>154.459034</v>
      </c>
      <c r="J25" s="99">
        <v>61.182741</v>
      </c>
      <c r="K25" s="99">
        <v>171.560141</v>
      </c>
      <c r="L25" s="99">
        <v>141.820329</v>
      </c>
      <c r="M25" s="99">
        <v>162.5018</v>
      </c>
      <c r="N25" s="99">
        <v>242.1513</v>
      </c>
      <c r="O25" s="99">
        <v>384.9121</v>
      </c>
      <c r="P25" s="99">
        <v>420.7418</v>
      </c>
      <c r="Q25" s="99">
        <v>89.9982</v>
      </c>
      <c r="R25" s="95">
        <v>1120.3088</v>
      </c>
      <c r="S25" s="97">
        <v>0.570542448550533</v>
      </c>
      <c r="T25" s="97">
        <v>0.333374651621448</v>
      </c>
      <c r="U25" s="100"/>
      <c r="V25" s="95">
        <v>928.929243714286</v>
      </c>
      <c r="W25" s="97">
        <v>0.767515385529693</v>
      </c>
      <c r="X25" s="101">
        <v>1.67871770307126</v>
      </c>
      <c r="Y25" s="98" t="s">
        <v>115</v>
      </c>
      <c r="Z25" s="95">
        <v>125.770016</v>
      </c>
      <c r="AA25" s="101">
        <v>0.103915796570622</v>
      </c>
      <c r="AB25" s="101">
        <v>0.277491737611147</v>
      </c>
      <c r="AC25" s="98" t="s">
        <v>116</v>
      </c>
      <c r="AD25" s="95">
        <v>0</v>
      </c>
      <c r="AE25" s="97">
        <v>0</v>
      </c>
      <c r="AF25" s="102"/>
      <c r="AG25" s="103">
        <v>-651.577585234286</v>
      </c>
      <c r="AH25" s="95">
        <v>-741.77509</v>
      </c>
      <c r="AI25" s="95">
        <v>528.481968</v>
      </c>
      <c r="AJ25" s="95">
        <v>61.56</v>
      </c>
      <c r="AK25" s="95">
        <v>0</v>
      </c>
      <c r="AL25" s="95">
        <v>0</v>
      </c>
      <c r="AM25" s="95">
        <v>0</v>
      </c>
      <c r="AN25" s="95">
        <v>466.921968</v>
      </c>
      <c r="AO25" s="95">
        <v>0</v>
      </c>
      <c r="AP25" s="95">
        <v>413.813364</v>
      </c>
      <c r="AQ25" s="95">
        <v>0</v>
      </c>
      <c r="AR25" s="95">
        <v>53.108604</v>
      </c>
      <c r="AS25" s="95">
        <v>0</v>
      </c>
      <c r="AT25" s="95">
        <v>-801.34900611429</v>
      </c>
      <c r="AU25" s="95">
        <v>0</v>
      </c>
      <c r="AV25" s="95">
        <v>0</v>
      </c>
      <c r="AW25" s="95">
        <v>850</v>
      </c>
      <c r="AX25" s="104"/>
      <c r="AY25" s="92" t="s">
        <v>387</v>
      </c>
      <c r="AZ25" s="105" t="s">
        <v>388</v>
      </c>
      <c r="BB25" s="106" t="s">
        <v>389</v>
      </c>
    </row>
    <row r="26" s="6" customFormat="1" ht="209.25" customHeight="1" spans="1:55">
      <c r="A26" s="66" t="s">
        <v>119</v>
      </c>
      <c r="B26" s="76" t="s">
        <v>120</v>
      </c>
      <c r="C26" s="95">
        <v>220.03</v>
      </c>
      <c r="D26" s="95">
        <v>8.66</v>
      </c>
      <c r="E26" s="95">
        <v>228.69</v>
      </c>
      <c r="F26" s="95">
        <v>887.14</v>
      </c>
      <c r="G26" s="101">
        <v>2.87922515195242</v>
      </c>
      <c r="H26" s="98" t="s">
        <v>121</v>
      </c>
      <c r="I26" s="95">
        <v>51.76</v>
      </c>
      <c r="J26" s="95">
        <v>95.51</v>
      </c>
      <c r="K26" s="95">
        <v>72.11</v>
      </c>
      <c r="L26" s="95">
        <v>9.31</v>
      </c>
      <c r="M26" s="95">
        <v>179.94</v>
      </c>
      <c r="N26" s="95">
        <v>225.98</v>
      </c>
      <c r="O26" s="95">
        <v>229.54</v>
      </c>
      <c r="P26" s="95">
        <v>251.68</v>
      </c>
      <c r="Q26" s="95">
        <v>101.74</v>
      </c>
      <c r="R26" s="95">
        <v>785.4</v>
      </c>
      <c r="S26" s="101">
        <v>-1.82416858192313</v>
      </c>
      <c r="T26" s="101">
        <v>-0.100801451856528</v>
      </c>
      <c r="U26" s="98" t="s">
        <v>390</v>
      </c>
      <c r="V26" s="95">
        <v>123.38</v>
      </c>
      <c r="W26" s="101">
        <v>0.139076132290281</v>
      </c>
      <c r="X26" s="101">
        <v>0.391272027635664</v>
      </c>
      <c r="Y26" s="98" t="s">
        <v>123</v>
      </c>
      <c r="Z26" s="95">
        <v>794.98</v>
      </c>
      <c r="AA26" s="101">
        <v>0.896115607457673</v>
      </c>
      <c r="AB26" s="101">
        <v>2.82381302199484</v>
      </c>
      <c r="AC26" s="98" t="s">
        <v>124</v>
      </c>
      <c r="AD26" s="95">
        <v>2271.18</v>
      </c>
      <c r="AE26" s="101">
        <v>2.56011452532858</v>
      </c>
      <c r="AF26" s="107" t="s">
        <v>125</v>
      </c>
      <c r="AG26" s="103">
        <v>-3280.845</v>
      </c>
      <c r="AH26" s="95">
        <v>-2306.276913</v>
      </c>
      <c r="AI26" s="95">
        <v>1635.95</v>
      </c>
      <c r="AJ26" s="95">
        <v>94.08</v>
      </c>
      <c r="AK26" s="95">
        <v>0</v>
      </c>
      <c r="AL26" s="95">
        <v>242.31</v>
      </c>
      <c r="AM26" s="95">
        <v>256.56</v>
      </c>
      <c r="AN26" s="95">
        <v>1043</v>
      </c>
      <c r="AO26" s="95">
        <v>164.62</v>
      </c>
      <c r="AP26" s="95">
        <v>73.14</v>
      </c>
      <c r="AQ26" s="95">
        <v>423.51</v>
      </c>
      <c r="AR26" s="95">
        <v>381.73</v>
      </c>
      <c r="AS26" s="95">
        <v>0</v>
      </c>
      <c r="AT26" s="95">
        <v>-2750.975</v>
      </c>
      <c r="AU26" s="95">
        <v>-629.5</v>
      </c>
      <c r="AV26" s="95">
        <v>0</v>
      </c>
      <c r="AW26" s="95">
        <v>3400</v>
      </c>
      <c r="AX26" s="108"/>
      <c r="AY26" s="92" t="s">
        <v>391</v>
      </c>
      <c r="AZ26" s="109" t="s">
        <v>392</v>
      </c>
    </row>
    <row r="27" s="8" customFormat="1" ht="162.75" customHeight="1" spans="1:55">
      <c r="A27" s="66" t="s">
        <v>128</v>
      </c>
      <c r="B27" s="76" t="s">
        <v>129</v>
      </c>
      <c r="C27" s="72">
        <v>661</v>
      </c>
      <c r="D27" s="72">
        <v>289</v>
      </c>
      <c r="E27" s="72">
        <v>951</v>
      </c>
      <c r="F27" s="72">
        <v>1102</v>
      </c>
      <c r="G27" s="73">
        <v>0.1597</v>
      </c>
      <c r="H27" s="78" t="s">
        <v>393</v>
      </c>
      <c r="I27" s="72">
        <v>155</v>
      </c>
      <c r="J27" s="72">
        <v>125</v>
      </c>
      <c r="K27" s="72">
        <v>219</v>
      </c>
      <c r="L27" s="72">
        <v>452</v>
      </c>
      <c r="M27" s="72">
        <v>286</v>
      </c>
      <c r="N27" s="72">
        <v>243</v>
      </c>
      <c r="O27" s="72">
        <v>264</v>
      </c>
      <c r="P27" s="72">
        <v>309</v>
      </c>
      <c r="Q27" s="72">
        <v>174</v>
      </c>
      <c r="R27" s="72">
        <v>929</v>
      </c>
      <c r="S27" s="73">
        <v>0.1718</v>
      </c>
      <c r="T27" s="73">
        <v>0.2413</v>
      </c>
      <c r="U27" s="72"/>
      <c r="V27" s="68">
        <v>241.9</v>
      </c>
      <c r="W27" s="73">
        <v>0.22</v>
      </c>
      <c r="X27" s="73">
        <v>0.3137</v>
      </c>
      <c r="Y27" s="78" t="s">
        <v>394</v>
      </c>
      <c r="Z27" s="68">
        <v>23.08</v>
      </c>
      <c r="AA27" s="73">
        <v>0.0209</v>
      </c>
      <c r="AB27" s="73">
        <v>0.0435</v>
      </c>
      <c r="AC27" s="78" t="s">
        <v>132</v>
      </c>
      <c r="AD27" s="72">
        <v>0</v>
      </c>
      <c r="AE27" s="73">
        <v>0</v>
      </c>
      <c r="AF27" s="73"/>
      <c r="AG27" s="83">
        <v>1</v>
      </c>
      <c r="AH27" s="84">
        <v>-176</v>
      </c>
      <c r="AI27" s="84">
        <v>247</v>
      </c>
      <c r="AJ27" s="84">
        <v>22</v>
      </c>
      <c r="AK27" s="84">
        <v>0</v>
      </c>
      <c r="AL27" s="84">
        <v>0</v>
      </c>
      <c r="AM27" s="84">
        <v>2</v>
      </c>
      <c r="AN27" s="84">
        <v>223</v>
      </c>
      <c r="AO27" s="84">
        <v>0</v>
      </c>
      <c r="AP27" s="84">
        <v>223</v>
      </c>
      <c r="AQ27" s="84">
        <v>0</v>
      </c>
      <c r="AR27" s="84">
        <v>0</v>
      </c>
      <c r="AS27" s="84">
        <v>0</v>
      </c>
      <c r="AT27" s="84">
        <v>-78</v>
      </c>
      <c r="AU27" s="84">
        <v>0</v>
      </c>
      <c r="AV27" s="84">
        <v>0</v>
      </c>
      <c r="AW27" s="84">
        <v>100</v>
      </c>
      <c r="AX27" s="85"/>
      <c r="AY27" s="92" t="s">
        <v>395</v>
      </c>
      <c r="AZ27" s="109" t="s">
        <v>396</v>
      </c>
      <c r="BA27" s="8" t="str">
        <f>_xlfn.DISPIMG("ID_739AA885C30C471A8F9F88960B22E27D",1)</f>
        <v>=DISPIMG("ID_739AA885C30C471A8F9F88960B22E27D",1)</v>
      </c>
      <c r="BB27" s="110" t="s">
        <v>135</v>
      </c>
    </row>
    <row r="28" s="6" customFormat="1" ht="253.5" customHeight="1" spans="1:55">
      <c r="A28" s="66" t="s">
        <v>137</v>
      </c>
      <c r="B28" s="76" t="s">
        <v>138</v>
      </c>
      <c r="C28" s="95">
        <v>177.9805</v>
      </c>
      <c r="D28" s="95">
        <v>0</v>
      </c>
      <c r="E28" s="95">
        <v>177.9805</v>
      </c>
      <c r="F28" s="111">
        <v>1510.9289</v>
      </c>
      <c r="G28" s="101">
        <v>7.48929461373578</v>
      </c>
      <c r="H28" s="98" t="s">
        <v>397</v>
      </c>
      <c r="I28" s="112">
        <v>10.7768</v>
      </c>
      <c r="J28" s="112">
        <v>116.9965</v>
      </c>
      <c r="K28" s="112">
        <v>35.4381</v>
      </c>
      <c r="L28" s="112">
        <v>14.7691</v>
      </c>
      <c r="M28" s="112">
        <v>252.3894</v>
      </c>
      <c r="N28" s="112">
        <v>419.9557</v>
      </c>
      <c r="O28" s="112">
        <v>425.7078</v>
      </c>
      <c r="P28" s="112">
        <v>412.876</v>
      </c>
      <c r="Q28" s="111">
        <v>1156.9466</v>
      </c>
      <c r="R28" s="113">
        <v>353.9823</v>
      </c>
      <c r="S28" s="101">
        <v>-0.888720955385562</v>
      </c>
      <c r="T28" s="101">
        <v>0.267039610830319</v>
      </c>
      <c r="U28" s="114"/>
      <c r="V28" s="112">
        <v>329.465944</v>
      </c>
      <c r="W28" s="97">
        <v>0.218055226821064</v>
      </c>
      <c r="X28" s="101">
        <v>1.0524336879602</v>
      </c>
      <c r="Y28" s="98" t="s">
        <v>140</v>
      </c>
      <c r="Z28" s="113">
        <v>373.196298</v>
      </c>
      <c r="AA28" s="101">
        <v>0.24699792160968</v>
      </c>
      <c r="AB28" s="101">
        <v>1.13563605001672</v>
      </c>
      <c r="AC28" s="98" t="s">
        <v>141</v>
      </c>
      <c r="AD28" s="111">
        <v>1408.54848</v>
      </c>
      <c r="AE28" s="97">
        <v>0.932240080919757</v>
      </c>
      <c r="AF28" s="107" t="s">
        <v>142</v>
      </c>
      <c r="AG28" s="111">
        <v>-1706.29515655172</v>
      </c>
      <c r="AH28" s="95">
        <v>-801.653346</v>
      </c>
      <c r="AI28" s="95">
        <v>1789.48283146903</v>
      </c>
      <c r="AJ28" s="115">
        <v>34.5088</v>
      </c>
      <c r="AK28" s="95">
        <v>0</v>
      </c>
      <c r="AL28" s="115">
        <v>129.084119469027</v>
      </c>
      <c r="AM28" s="115">
        <v>216.6105</v>
      </c>
      <c r="AN28" s="95">
        <v>1408.683012</v>
      </c>
      <c r="AO28" s="95">
        <v>178.08799</v>
      </c>
      <c r="AP28" s="95">
        <v>184.985944</v>
      </c>
      <c r="AQ28" s="95">
        <v>865.81308</v>
      </c>
      <c r="AR28" s="95">
        <v>179.795998</v>
      </c>
      <c r="AS28" s="95">
        <v>0.5964</v>
      </c>
      <c r="AT28" s="116">
        <v>-1296.413012</v>
      </c>
      <c r="AU28" s="115">
        <v>-929</v>
      </c>
      <c r="AV28" s="116">
        <v>0</v>
      </c>
      <c r="AW28" s="95">
        <v>2200</v>
      </c>
      <c r="AX28" s="85"/>
      <c r="AY28" s="117" t="s">
        <v>398</v>
      </c>
      <c r="AZ28" s="74"/>
    </row>
    <row r="29" s="6" customFormat="1" ht="141.75" customHeight="1" spans="1:55">
      <c r="A29" s="66" t="s">
        <v>144</v>
      </c>
      <c r="B29" s="76" t="s">
        <v>145</v>
      </c>
      <c r="C29" s="95">
        <v>2129.657963</v>
      </c>
      <c r="D29" s="95">
        <v>470</v>
      </c>
      <c r="E29" s="95">
        <v>2599.657963</v>
      </c>
      <c r="F29" s="96">
        <v>2743.36</v>
      </c>
      <c r="G29" s="101">
        <v>0.05527728610658</v>
      </c>
      <c r="H29" s="98" t="s">
        <v>146</v>
      </c>
      <c r="I29" s="118">
        <v>427.411302</v>
      </c>
      <c r="J29" s="118">
        <v>379.338019</v>
      </c>
      <c r="K29" s="118">
        <v>1021.701384</v>
      </c>
      <c r="L29" s="118">
        <v>771.207258</v>
      </c>
      <c r="M29" s="118">
        <v>685.83</v>
      </c>
      <c r="N29" s="118">
        <v>685.83</v>
      </c>
      <c r="O29" s="118">
        <v>685.83</v>
      </c>
      <c r="P29" s="118">
        <v>685.87</v>
      </c>
      <c r="Q29" s="95">
        <v>1769.91</v>
      </c>
      <c r="R29" s="95">
        <v>973.45</v>
      </c>
      <c r="S29" s="101">
        <v>0.298019190996166</v>
      </c>
      <c r="T29" s="101">
        <v>0.241021444506007</v>
      </c>
      <c r="U29" s="98" t="s">
        <v>147</v>
      </c>
      <c r="V29" s="118">
        <v>220.12</v>
      </c>
      <c r="W29" s="97">
        <v>0.0802373731482561</v>
      </c>
      <c r="X29" s="101">
        <v>0.101683963722269</v>
      </c>
      <c r="Y29" s="98" t="s">
        <v>399</v>
      </c>
      <c r="Z29" s="118">
        <v>326.56</v>
      </c>
      <c r="AA29" s="101">
        <v>0.119036509973172</v>
      </c>
      <c r="AB29" s="101">
        <v>0.105926078322327</v>
      </c>
      <c r="AC29" s="119" t="s">
        <v>400</v>
      </c>
      <c r="AD29" s="118">
        <v>476.49</v>
      </c>
      <c r="AE29" s="97">
        <v>0.173688469613904</v>
      </c>
      <c r="AF29" s="107" t="s">
        <v>150</v>
      </c>
      <c r="AG29" s="103">
        <v>-382.46141</v>
      </c>
      <c r="AH29" s="95">
        <v>-520.246275</v>
      </c>
      <c r="AI29" s="95">
        <v>545.1</v>
      </c>
      <c r="AJ29" s="95">
        <v>57.48</v>
      </c>
      <c r="AK29" s="95">
        <v>0</v>
      </c>
      <c r="AL29" s="95">
        <v>30</v>
      </c>
      <c r="AM29" s="95">
        <v>49.02</v>
      </c>
      <c r="AN29" s="95">
        <v>511.04</v>
      </c>
      <c r="AO29" s="95">
        <v>102.44</v>
      </c>
      <c r="AP29" s="95">
        <v>174.4</v>
      </c>
      <c r="AQ29" s="95">
        <v>122</v>
      </c>
      <c r="AR29" s="95">
        <v>112.2</v>
      </c>
      <c r="AS29" s="95">
        <v>0</v>
      </c>
      <c r="AT29" s="95">
        <v>267.76</v>
      </c>
      <c r="AU29" s="95">
        <v>-180</v>
      </c>
      <c r="AV29" s="95">
        <v>0</v>
      </c>
      <c r="AW29" s="95">
        <v>0</v>
      </c>
      <c r="AX29" s="120" t="s">
        <v>89</v>
      </c>
      <c r="AY29" s="92" t="s">
        <v>401</v>
      </c>
      <c r="AZ29" s="109" t="s">
        <v>402</v>
      </c>
    </row>
    <row r="30" s="6" customFormat="1" ht="115.65" customHeight="1" spans="1:55">
      <c r="A30" s="66" t="s">
        <v>152</v>
      </c>
      <c r="B30" s="76" t="s">
        <v>153</v>
      </c>
      <c r="C30" s="95">
        <v>2056.39327433628</v>
      </c>
      <c r="D30" s="95">
        <v>442.656991150442</v>
      </c>
      <c r="E30" s="95">
        <v>2499.05026548673</v>
      </c>
      <c r="F30" s="95">
        <v>2603.89194690266</v>
      </c>
      <c r="G30" s="101">
        <v>0.0419526101030666</v>
      </c>
      <c r="H30" s="98" t="s">
        <v>154</v>
      </c>
      <c r="I30" s="112">
        <v>620.845221238938</v>
      </c>
      <c r="J30" s="112">
        <v>466.584159292035</v>
      </c>
      <c r="K30" s="112">
        <v>638.122654867257</v>
      </c>
      <c r="L30" s="95">
        <v>773.498230088496</v>
      </c>
      <c r="M30" s="112">
        <v>664.235486725664</v>
      </c>
      <c r="N30" s="112">
        <v>469.555486725664</v>
      </c>
      <c r="O30" s="112">
        <v>602.305486725664</v>
      </c>
      <c r="P30" s="112">
        <v>867.795486725664</v>
      </c>
      <c r="Q30" s="112">
        <v>2496.62194690266</v>
      </c>
      <c r="R30" s="112">
        <v>107.27</v>
      </c>
      <c r="S30" s="101">
        <v>0.342211710303539</v>
      </c>
      <c r="T30" s="101">
        <v>0.347340544594599</v>
      </c>
      <c r="U30" s="98" t="s">
        <v>155</v>
      </c>
      <c r="V30" s="112">
        <v>26.32</v>
      </c>
      <c r="W30" s="97">
        <v>0.0101079463114081</v>
      </c>
      <c r="X30" s="97">
        <v>0.00363338029866779</v>
      </c>
      <c r="Y30" s="121" t="s">
        <v>403</v>
      </c>
      <c r="Z30" s="112">
        <v>101.306</v>
      </c>
      <c r="AA30" s="101">
        <v>0.038905608245574</v>
      </c>
      <c r="AB30" s="101">
        <v>0.037722330479671</v>
      </c>
      <c r="AC30" s="98" t="s">
        <v>404</v>
      </c>
      <c r="AD30" s="112">
        <v>139.84</v>
      </c>
      <c r="AE30" s="101">
        <v>0.0537042253870558</v>
      </c>
      <c r="AF30" s="107" t="s">
        <v>158</v>
      </c>
      <c r="AG30" s="103">
        <v>442</v>
      </c>
      <c r="AH30" s="95">
        <v>519.30426548673</v>
      </c>
      <c r="AI30" s="95">
        <v>551.95</v>
      </c>
      <c r="AJ30" s="95">
        <v>7.78</v>
      </c>
      <c r="AK30" s="95">
        <v>0</v>
      </c>
      <c r="AL30" s="95">
        <v>0</v>
      </c>
      <c r="AM30" s="95">
        <v>0</v>
      </c>
      <c r="AN30" s="95">
        <v>544.17</v>
      </c>
      <c r="AO30" s="95">
        <v>394.36</v>
      </c>
      <c r="AP30" s="95">
        <v>15.64</v>
      </c>
      <c r="AQ30" s="95">
        <v>44.48</v>
      </c>
      <c r="AR30" s="95">
        <v>89.69</v>
      </c>
      <c r="AS30" s="95">
        <v>0</v>
      </c>
      <c r="AT30" s="95">
        <v>-81.3960000000002</v>
      </c>
      <c r="AU30" s="95">
        <v>-77</v>
      </c>
      <c r="AV30" s="95">
        <v>0</v>
      </c>
      <c r="AW30" s="95">
        <v>0</v>
      </c>
      <c r="AX30" s="120" t="s">
        <v>89</v>
      </c>
      <c r="AY30" s="122" t="s">
        <v>159</v>
      </c>
      <c r="AZ30" s="123"/>
    </row>
    <row r="31" s="6" customFormat="1" ht="264" customHeight="1" spans="1:55">
      <c r="A31" s="66" t="s">
        <v>160</v>
      </c>
      <c r="B31" s="76" t="s">
        <v>161</v>
      </c>
      <c r="C31" s="95">
        <v>2097.004831</v>
      </c>
      <c r="D31" s="95">
        <v>160.832108265487</v>
      </c>
      <c r="E31" s="95">
        <v>2257.83693926549</v>
      </c>
      <c r="F31" s="95">
        <v>1305.65220332409</v>
      </c>
      <c r="G31" s="97">
        <v>-0.421724314711212</v>
      </c>
      <c r="H31" s="124" t="s">
        <v>162</v>
      </c>
      <c r="I31" s="95">
        <v>982.614976</v>
      </c>
      <c r="J31" s="95">
        <v>805.782881</v>
      </c>
      <c r="K31" s="95">
        <v>244.540814</v>
      </c>
      <c r="L31" s="95">
        <v>224.898268265487</v>
      </c>
      <c r="M31" s="95">
        <v>210.976141497245</v>
      </c>
      <c r="N31" s="95">
        <v>255.177143333945</v>
      </c>
      <c r="O31" s="95">
        <v>354.572735252463</v>
      </c>
      <c r="P31" s="95">
        <v>484.92618324044</v>
      </c>
      <c r="Q31" s="95">
        <v>171.980572</v>
      </c>
      <c r="R31" s="95">
        <v>1133.67163132409</v>
      </c>
      <c r="S31" s="97">
        <v>0.155460920035017</v>
      </c>
      <c r="T31" s="97">
        <v>0.444395155129441</v>
      </c>
      <c r="U31" s="98" t="s">
        <v>163</v>
      </c>
      <c r="V31" s="95">
        <v>528.142268</v>
      </c>
      <c r="W31" s="97">
        <v>0.404504558453921</v>
      </c>
      <c r="X31" s="97">
        <v>0.279054643425653</v>
      </c>
      <c r="Y31" s="98" t="s">
        <v>164</v>
      </c>
      <c r="Z31" s="95">
        <v>1185.180012</v>
      </c>
      <c r="AA31" s="97">
        <v>0.907730258473599</v>
      </c>
      <c r="AB31" s="97">
        <v>0.580178253893812</v>
      </c>
      <c r="AC31" s="125" t="s">
        <v>165</v>
      </c>
      <c r="AD31" s="95">
        <v>198.847138</v>
      </c>
      <c r="AE31" s="97">
        <v>0.152297171860738</v>
      </c>
      <c r="AF31" s="107" t="s">
        <v>166</v>
      </c>
      <c r="AG31" s="103">
        <v>-1332.35390455869</v>
      </c>
      <c r="AH31" s="95">
        <v>-1906.43300013274</v>
      </c>
      <c r="AI31" s="126">
        <v>1912.169418</v>
      </c>
      <c r="AJ31" s="95">
        <v>390.902118</v>
      </c>
      <c r="AK31" s="95">
        <v>8.286324</v>
      </c>
      <c r="AL31" s="95">
        <v>225.389664</v>
      </c>
      <c r="AM31" s="95">
        <v>125.652</v>
      </c>
      <c r="AN31" s="95">
        <v>795.640846</v>
      </c>
      <c r="AO31" s="95">
        <v>253.25077</v>
      </c>
      <c r="AP31" s="95">
        <v>284.766024</v>
      </c>
      <c r="AQ31" s="95">
        <v>57.171264</v>
      </c>
      <c r="AR31" s="95">
        <v>200.452788</v>
      </c>
      <c r="AS31" s="95">
        <v>316.378466</v>
      </c>
      <c r="AT31" s="95">
        <v>-590.104247585804</v>
      </c>
      <c r="AU31" s="95">
        <v>0</v>
      </c>
      <c r="AV31" s="95">
        <v>0</v>
      </c>
      <c r="AW31" s="95">
        <v>400</v>
      </c>
      <c r="AX31" s="104"/>
      <c r="AY31" s="109" t="s">
        <v>405</v>
      </c>
      <c r="AZ31" s="109" t="s">
        <v>406</v>
      </c>
      <c r="BA31" s="106"/>
    </row>
    <row r="32" s="6" customFormat="1" ht="204.75" customHeight="1" spans="1:55">
      <c r="A32" s="66" t="s">
        <v>171</v>
      </c>
      <c r="B32" s="76" t="s">
        <v>172</v>
      </c>
      <c r="C32" s="95">
        <v>1779.29199</v>
      </c>
      <c r="D32" s="95">
        <v>360.931522822124</v>
      </c>
      <c r="E32" s="95">
        <v>2140.22351282212</v>
      </c>
      <c r="F32" s="95">
        <v>5577.49229746926</v>
      </c>
      <c r="G32" s="101">
        <v>1.60603262418827</v>
      </c>
      <c r="H32" s="98" t="s">
        <v>173</v>
      </c>
      <c r="I32" s="95">
        <v>544.96212</v>
      </c>
      <c r="J32" s="95">
        <v>494.648567</v>
      </c>
      <c r="K32" s="95">
        <v>587.521915</v>
      </c>
      <c r="L32" s="95">
        <v>513.090910822124</v>
      </c>
      <c r="M32" s="95">
        <v>619.227105831858</v>
      </c>
      <c r="N32" s="95">
        <v>798.239381524336</v>
      </c>
      <c r="O32" s="95">
        <v>1587.21939101699</v>
      </c>
      <c r="P32" s="95">
        <v>2572.80641909607</v>
      </c>
      <c r="Q32" s="95">
        <v>194.1048</v>
      </c>
      <c r="R32" s="95">
        <v>5383.38749746926</v>
      </c>
      <c r="S32" s="101">
        <v>0.766023704784973</v>
      </c>
      <c r="T32" s="101">
        <v>0.846525166062901</v>
      </c>
      <c r="U32" s="127" t="s">
        <v>174</v>
      </c>
      <c r="V32" s="128">
        <v>4086.39892638364</v>
      </c>
      <c r="W32" s="101">
        <v>0.732658820208108</v>
      </c>
      <c r="X32" s="101">
        <v>0.807126437494074</v>
      </c>
      <c r="Y32" s="127" t="s">
        <v>175</v>
      </c>
      <c r="Z32" s="112">
        <v>348.65584</v>
      </c>
      <c r="AA32" s="101">
        <v>0.0625112185557297</v>
      </c>
      <c r="AB32" s="101">
        <v>0.155253245751822</v>
      </c>
      <c r="AC32" s="125" t="s">
        <v>176</v>
      </c>
      <c r="AD32" s="112">
        <v>0</v>
      </c>
      <c r="AE32" s="97">
        <v>0</v>
      </c>
      <c r="AF32" s="102"/>
      <c r="AG32" s="103">
        <v>250.815540436353</v>
      </c>
      <c r="AH32" s="95">
        <v>-437.504814985255</v>
      </c>
      <c r="AI32" s="95">
        <v>1163.03759</v>
      </c>
      <c r="AJ32" s="95">
        <v>174.34375</v>
      </c>
      <c r="AK32" s="95">
        <v>0</v>
      </c>
      <c r="AL32" s="95">
        <v>17.64</v>
      </c>
      <c r="AM32" s="95">
        <v>47.4</v>
      </c>
      <c r="AN32" s="95">
        <v>923.65384</v>
      </c>
      <c r="AO32" s="95">
        <v>0</v>
      </c>
      <c r="AP32" s="95">
        <v>841.028</v>
      </c>
      <c r="AQ32" s="95">
        <v>0</v>
      </c>
      <c r="AR32" s="95">
        <v>82.62584</v>
      </c>
      <c r="AS32" s="95">
        <v>0</v>
      </c>
      <c r="AT32" s="95">
        <v>498.421846648751</v>
      </c>
      <c r="AU32" s="95">
        <v>-11</v>
      </c>
      <c r="AV32" s="95">
        <v>0</v>
      </c>
      <c r="AW32" s="95">
        <v>850</v>
      </c>
      <c r="AX32" s="104"/>
      <c r="AY32" s="92" t="s">
        <v>407</v>
      </c>
      <c r="AZ32" s="109" t="s">
        <v>408</v>
      </c>
      <c r="BA32" s="129"/>
    </row>
    <row r="33" s="6" customFormat="1" ht="254.25" customHeight="1" spans="1:55">
      <c r="A33" s="66" t="s">
        <v>178</v>
      </c>
      <c r="B33" s="76" t="s">
        <v>179</v>
      </c>
      <c r="C33" s="72">
        <v>814</v>
      </c>
      <c r="D33" s="72">
        <v>129</v>
      </c>
      <c r="E33" s="72">
        <v>943</v>
      </c>
      <c r="F33" s="72">
        <v>1300</v>
      </c>
      <c r="G33" s="69">
        <v>0.3792</v>
      </c>
      <c r="H33" s="130" t="s">
        <v>180</v>
      </c>
      <c r="I33" s="131">
        <v>241.47</v>
      </c>
      <c r="J33" s="131">
        <v>307.39</v>
      </c>
      <c r="K33" s="131">
        <v>198.59</v>
      </c>
      <c r="L33" s="131">
        <v>195.32</v>
      </c>
      <c r="M33" s="131">
        <v>310.3</v>
      </c>
      <c r="N33" s="131">
        <v>321.08</v>
      </c>
      <c r="O33" s="131">
        <v>331.34</v>
      </c>
      <c r="P33" s="131">
        <v>337.59</v>
      </c>
      <c r="Q33" s="131">
        <v>108.83</v>
      </c>
      <c r="R33" s="131">
        <v>1191.47</v>
      </c>
      <c r="S33" s="69">
        <v>0.6227</v>
      </c>
      <c r="T33" s="69">
        <v>0.3622</v>
      </c>
      <c r="U33" s="112" t="s">
        <v>181</v>
      </c>
      <c r="V33" s="131">
        <v>176.06</v>
      </c>
      <c r="W33" s="73">
        <v>0.14</v>
      </c>
      <c r="X33" s="69">
        <v>0.0733</v>
      </c>
      <c r="Y33" s="95" t="s">
        <v>182</v>
      </c>
      <c r="Z33" s="131">
        <v>1270.14</v>
      </c>
      <c r="AA33" s="69">
        <v>0.9768</v>
      </c>
      <c r="AB33" s="69">
        <v>1.371</v>
      </c>
      <c r="AC33" s="78" t="s">
        <v>183</v>
      </c>
      <c r="AD33" s="131">
        <v>1619.5</v>
      </c>
      <c r="AE33" s="73">
        <v>1.25</v>
      </c>
      <c r="AF33" s="132" t="s">
        <v>184</v>
      </c>
      <c r="AG33" s="83">
        <v>-2795</v>
      </c>
      <c r="AH33" s="84">
        <v>-2183</v>
      </c>
      <c r="AI33" s="84">
        <v>3744.7492889137</v>
      </c>
      <c r="AJ33" s="84">
        <v>732</v>
      </c>
      <c r="AK33" s="84">
        <v>0</v>
      </c>
      <c r="AL33" s="84">
        <v>267</v>
      </c>
      <c r="AM33" s="84">
        <v>211</v>
      </c>
      <c r="AN33" s="84">
        <v>1605</v>
      </c>
      <c r="AO33" s="84">
        <v>306</v>
      </c>
      <c r="AP33" s="84">
        <v>154</v>
      </c>
      <c r="AQ33" s="84">
        <v>996</v>
      </c>
      <c r="AR33" s="84">
        <v>150</v>
      </c>
      <c r="AS33" s="84">
        <v>928.701584000005</v>
      </c>
      <c r="AT33" s="84">
        <v>-1246</v>
      </c>
      <c r="AU33" s="84">
        <v>-461</v>
      </c>
      <c r="AV33" s="84">
        <v>0</v>
      </c>
      <c r="AW33" s="108">
        <v>1750</v>
      </c>
      <c r="AX33" s="133" t="s">
        <v>185</v>
      </c>
      <c r="AY33" s="92" t="s">
        <v>409</v>
      </c>
      <c r="AZ33" s="109" t="s">
        <v>410</v>
      </c>
    </row>
    <row r="34" s="6" customFormat="1" ht="26.4" customHeight="1" spans="1:55">
      <c r="A34" s="66" t="s">
        <v>188</v>
      </c>
      <c r="B34" s="76" t="s">
        <v>189</v>
      </c>
      <c r="C34" s="72"/>
      <c r="D34" s="72"/>
      <c r="E34" s="72"/>
      <c r="F34" s="72"/>
      <c r="G34" s="69"/>
      <c r="H34" s="134"/>
      <c r="I34" s="131"/>
      <c r="J34" s="131"/>
      <c r="K34" s="131"/>
      <c r="L34" s="131"/>
      <c r="M34" s="131"/>
      <c r="N34" s="131"/>
      <c r="O34" s="131"/>
      <c r="P34" s="131"/>
      <c r="Q34" s="131"/>
      <c r="R34" s="131"/>
      <c r="S34" s="69"/>
      <c r="T34" s="69"/>
      <c r="U34" s="134"/>
      <c r="V34" s="131"/>
      <c r="W34" s="73"/>
      <c r="X34" s="69"/>
      <c r="Y34" s="134"/>
      <c r="Z34" s="131">
        <v>820.2</v>
      </c>
      <c r="AA34" s="69">
        <v>0</v>
      </c>
      <c r="AB34" s="69">
        <v>0</v>
      </c>
      <c r="AC34" s="95" t="s">
        <v>190</v>
      </c>
      <c r="AD34" s="131"/>
      <c r="AE34" s="73"/>
      <c r="AF34" s="73"/>
      <c r="AG34" s="83">
        <v>-857.32</v>
      </c>
      <c r="AH34" s="84">
        <v>-119.65</v>
      </c>
      <c r="AI34" s="84">
        <f>SUM(AJ34:AS34)</f>
        <v>820.2</v>
      </c>
      <c r="AJ34" s="84">
        <v>736.68</v>
      </c>
      <c r="AK34" s="84">
        <v>83.52</v>
      </c>
      <c r="AL34" s="84"/>
      <c r="AM34" s="84"/>
      <c r="AN34" s="84"/>
      <c r="AO34" s="84"/>
      <c r="AP34" s="84"/>
      <c r="AQ34" s="84"/>
      <c r="AR34" s="84"/>
      <c r="AS34" s="84"/>
      <c r="AT34" s="84">
        <v>5740</v>
      </c>
      <c r="AU34" s="84">
        <v>0</v>
      </c>
      <c r="AV34" s="84">
        <v>5777</v>
      </c>
      <c r="AW34" s="84"/>
      <c r="AX34" s="85"/>
      <c r="AY34" s="92" t="s">
        <v>411</v>
      </c>
      <c r="AZ34" s="74"/>
    </row>
    <row r="35" s="6" customFormat="1" ht="112.5" customHeight="1" spans="1:55">
      <c r="A35" s="66" t="s">
        <v>192</v>
      </c>
      <c r="B35" s="76" t="s">
        <v>193</v>
      </c>
      <c r="C35" s="72">
        <v>0</v>
      </c>
      <c r="D35" s="72">
        <v>0</v>
      </c>
      <c r="E35" s="72">
        <v>0</v>
      </c>
      <c r="F35" s="72">
        <v>1037</v>
      </c>
      <c r="G35" s="69">
        <v>1</v>
      </c>
      <c r="H35" s="135" t="s">
        <v>194</v>
      </c>
      <c r="I35" s="131">
        <v>1.18</v>
      </c>
      <c r="J35" s="131">
        <v>-1.18</v>
      </c>
      <c r="K35" s="131">
        <v>0</v>
      </c>
      <c r="L35" s="131">
        <v>0</v>
      </c>
      <c r="M35" s="131">
        <v>109.07</v>
      </c>
      <c r="N35" s="131">
        <v>234.78</v>
      </c>
      <c r="O35" s="131">
        <v>309.36</v>
      </c>
      <c r="P35" s="131">
        <v>383.94</v>
      </c>
      <c r="Q35" s="131">
        <v>401.65</v>
      </c>
      <c r="R35" s="131">
        <v>635.5</v>
      </c>
      <c r="S35" s="69">
        <v>0</v>
      </c>
      <c r="T35" s="69">
        <v>0.8473</v>
      </c>
      <c r="U35" s="134"/>
      <c r="V35" s="131">
        <v>332.4</v>
      </c>
      <c r="W35" s="73">
        <v>0.32</v>
      </c>
      <c r="X35" s="69">
        <v>0</v>
      </c>
      <c r="Y35" s="135" t="s">
        <v>195</v>
      </c>
      <c r="Z35" s="131">
        <v>1009.23</v>
      </c>
      <c r="AA35" s="69">
        <v>0.9731</v>
      </c>
      <c r="AB35" s="69">
        <v>0</v>
      </c>
      <c r="AC35" s="78" t="s">
        <v>196</v>
      </c>
      <c r="AD35" s="131">
        <v>0</v>
      </c>
      <c r="AE35" s="73">
        <v>0</v>
      </c>
      <c r="AF35" s="73"/>
      <c r="AG35" s="83">
        <v>-887</v>
      </c>
      <c r="AH35" s="84">
        <v>-841</v>
      </c>
      <c r="AI35" s="84">
        <v>915</v>
      </c>
      <c r="AJ35" s="84">
        <v>851</v>
      </c>
      <c r="AK35" s="84">
        <v>65</v>
      </c>
      <c r="AL35" s="84">
        <v>0</v>
      </c>
      <c r="AM35" s="84">
        <v>0</v>
      </c>
      <c r="AN35" s="84">
        <v>0</v>
      </c>
      <c r="AO35" s="84">
        <v>0</v>
      </c>
      <c r="AP35" s="84">
        <v>0</v>
      </c>
      <c r="AQ35" s="84">
        <v>0</v>
      </c>
      <c r="AR35" s="84">
        <v>0</v>
      </c>
      <c r="AS35" s="84">
        <v>0</v>
      </c>
      <c r="AT35" s="84">
        <v>80</v>
      </c>
      <c r="AU35" s="84">
        <v>-13208</v>
      </c>
      <c r="AV35" s="84">
        <v>0</v>
      </c>
      <c r="AW35" s="84">
        <v>13130</v>
      </c>
      <c r="AX35" s="85"/>
      <c r="AY35" s="92" t="s">
        <v>412</v>
      </c>
      <c r="AZ35" s="74"/>
    </row>
    <row r="36" s="6" customFormat="1" ht="26.4" customHeight="1" spans="1:55">
      <c r="A36" s="66" t="s">
        <v>198</v>
      </c>
      <c r="B36" s="76" t="s">
        <v>199</v>
      </c>
      <c r="C36" s="72"/>
      <c r="D36" s="72"/>
      <c r="E36" s="72"/>
      <c r="F36" s="72"/>
      <c r="G36" s="69"/>
      <c r="H36" s="134"/>
      <c r="I36" s="131"/>
      <c r="J36" s="131"/>
      <c r="K36" s="131"/>
      <c r="L36" s="131"/>
      <c r="M36" s="131"/>
      <c r="N36" s="131"/>
      <c r="O36" s="131"/>
      <c r="P36" s="131"/>
      <c r="Q36" s="131"/>
      <c r="R36" s="131"/>
      <c r="S36" s="69"/>
      <c r="T36" s="69"/>
      <c r="U36" s="134"/>
      <c r="V36" s="131"/>
      <c r="W36" s="73"/>
      <c r="X36" s="69"/>
      <c r="Y36" s="134"/>
      <c r="Z36" s="131"/>
      <c r="AA36" s="69"/>
      <c r="AB36" s="69"/>
      <c r="AC36" s="72"/>
      <c r="AD36" s="131"/>
      <c r="AE36" s="73"/>
      <c r="AF36" s="73"/>
      <c r="AG36" s="83"/>
      <c r="AH36" s="84"/>
      <c r="AI36" s="84"/>
      <c r="AJ36" s="84"/>
      <c r="AK36" s="84"/>
      <c r="AL36" s="84"/>
      <c r="AM36" s="84"/>
      <c r="AN36" s="84"/>
      <c r="AO36" s="84"/>
      <c r="AP36" s="84"/>
      <c r="AQ36" s="84"/>
      <c r="AR36" s="84"/>
      <c r="AS36" s="84"/>
      <c r="AT36" s="84"/>
      <c r="AU36" s="84"/>
      <c r="AV36" s="84"/>
      <c r="AW36" s="84"/>
      <c r="AX36" s="85"/>
      <c r="AY36" s="109" t="s">
        <v>200</v>
      </c>
      <c r="AZ36" s="109"/>
    </row>
    <row r="37" s="6" customFormat="1" ht="116.25" customHeight="1" spans="1:55">
      <c r="A37" s="66" t="s">
        <v>202</v>
      </c>
      <c r="B37" s="76" t="s">
        <v>203</v>
      </c>
      <c r="C37" s="95">
        <v>217.769722309735</v>
      </c>
      <c r="D37" s="95">
        <v>19.2365952743363</v>
      </c>
      <c r="E37" s="95">
        <v>237.006317584071</v>
      </c>
      <c r="F37" s="95">
        <v>105.345235362832</v>
      </c>
      <c r="G37" s="101">
        <v>-0.555517184365924</v>
      </c>
      <c r="H37" s="135" t="s">
        <v>204</v>
      </c>
      <c r="I37" s="95">
        <v>67.586011</v>
      </c>
      <c r="J37" s="95">
        <v>89.2599625044251</v>
      </c>
      <c r="K37" s="95">
        <v>51.1692318053097</v>
      </c>
      <c r="L37" s="95">
        <v>28.9911122743363</v>
      </c>
      <c r="M37" s="95">
        <v>25.9345389292035</v>
      </c>
      <c r="N37" s="95">
        <v>26.0230345044248</v>
      </c>
      <c r="O37" s="95">
        <v>25.0495831769911</v>
      </c>
      <c r="P37" s="95">
        <v>28.3380787522124</v>
      </c>
      <c r="Q37" s="95">
        <v>60.212492</v>
      </c>
      <c r="R37" s="118">
        <v>45.1327433628319</v>
      </c>
      <c r="S37" s="101">
        <v>-0.380586407912735</v>
      </c>
      <c r="T37" s="101">
        <v>0.142248965374188</v>
      </c>
      <c r="U37" s="98" t="s">
        <v>205</v>
      </c>
      <c r="V37" s="118">
        <v>26.666784</v>
      </c>
      <c r="W37" s="97">
        <v>0.253137067928642</v>
      </c>
      <c r="X37" s="101">
        <v>0.118060325501975</v>
      </c>
      <c r="Y37" s="78" t="s">
        <v>206</v>
      </c>
      <c r="Z37" s="118">
        <v>150.23352</v>
      </c>
      <c r="AA37" s="101">
        <v>1.42610645353407</v>
      </c>
      <c r="AB37" s="101">
        <v>1.09651931496642</v>
      </c>
      <c r="AC37" s="119" t="s">
        <v>413</v>
      </c>
      <c r="AD37" s="118">
        <v>0</v>
      </c>
      <c r="AE37" s="97">
        <v>0</v>
      </c>
      <c r="AF37" s="102"/>
      <c r="AG37" s="136">
        <v>-166.157123262537</v>
      </c>
      <c r="AH37" s="137">
        <v>-436.656143061947</v>
      </c>
      <c r="AI37" s="137">
        <v>153.375304</v>
      </c>
      <c r="AJ37" s="137">
        <v>39.48</v>
      </c>
      <c r="AK37" s="95">
        <v>15.798648</v>
      </c>
      <c r="AL37" s="95">
        <v>0</v>
      </c>
      <c r="AM37" s="95">
        <v>0</v>
      </c>
      <c r="AN37" s="137">
        <v>158.309148</v>
      </c>
      <c r="AO37" s="95">
        <v>46.0914</v>
      </c>
      <c r="AP37" s="95">
        <v>17.466784</v>
      </c>
      <c r="AQ37" s="95">
        <v>60.212492</v>
      </c>
      <c r="AR37" s="95">
        <v>34.538472</v>
      </c>
      <c r="AS37" s="95">
        <v>0</v>
      </c>
      <c r="AT37" s="138">
        <v>-48.21415548</v>
      </c>
      <c r="AU37" s="95">
        <v>0</v>
      </c>
      <c r="AV37" s="138">
        <v>0</v>
      </c>
      <c r="AW37" s="95">
        <v>0</v>
      </c>
      <c r="AX37" s="120" t="s">
        <v>89</v>
      </c>
      <c r="AY37" s="92" t="s">
        <v>414</v>
      </c>
      <c r="AZ37" s="74"/>
    </row>
    <row r="38" s="6" customFormat="1" ht="26.4" customHeight="1" spans="1:55">
      <c r="A38" s="66" t="s">
        <v>209</v>
      </c>
      <c r="B38" s="76" t="s">
        <v>210</v>
      </c>
      <c r="C38" s="95">
        <v>0</v>
      </c>
      <c r="D38" s="95">
        <v>0</v>
      </c>
      <c r="E38" s="95">
        <v>0</v>
      </c>
      <c r="F38" s="95">
        <v>0</v>
      </c>
      <c r="G38" s="101">
        <v>0</v>
      </c>
      <c r="H38" s="100"/>
      <c r="I38" s="95">
        <v>0</v>
      </c>
      <c r="J38" s="95">
        <v>0</v>
      </c>
      <c r="K38" s="95">
        <v>0</v>
      </c>
      <c r="L38" s="95">
        <v>0</v>
      </c>
      <c r="M38" s="95">
        <v>0</v>
      </c>
      <c r="N38" s="95">
        <v>0</v>
      </c>
      <c r="O38" s="95">
        <v>0</v>
      </c>
      <c r="P38" s="95">
        <v>0</v>
      </c>
      <c r="Q38" s="95">
        <v>0</v>
      </c>
      <c r="R38" s="95">
        <v>0</v>
      </c>
      <c r="S38" s="101">
        <v>0</v>
      </c>
      <c r="T38" s="101">
        <v>0</v>
      </c>
      <c r="U38" s="100"/>
      <c r="V38" s="95">
        <v>0</v>
      </c>
      <c r="W38" s="97">
        <v>0</v>
      </c>
      <c r="X38" s="101">
        <v>0</v>
      </c>
      <c r="Y38" s="100"/>
      <c r="Z38" s="139">
        <v>0</v>
      </c>
      <c r="AA38" s="101">
        <v>0</v>
      </c>
      <c r="AB38" s="101">
        <v>0</v>
      </c>
      <c r="AC38" s="100"/>
      <c r="AD38" s="95">
        <v>0</v>
      </c>
      <c r="AE38" s="97">
        <v>0</v>
      </c>
      <c r="AF38" s="102"/>
      <c r="AG38" s="103">
        <v>-0.03</v>
      </c>
      <c r="AH38" s="95">
        <v>-43.86</v>
      </c>
      <c r="AI38" s="95">
        <v>0</v>
      </c>
      <c r="AJ38" s="95">
        <v>0</v>
      </c>
      <c r="AK38" s="95">
        <v>0</v>
      </c>
      <c r="AL38" s="95">
        <v>0</v>
      </c>
      <c r="AM38" s="95">
        <v>0</v>
      </c>
      <c r="AN38" s="95">
        <v>0</v>
      </c>
      <c r="AO38" s="95">
        <v>0</v>
      </c>
      <c r="AP38" s="95">
        <v>0</v>
      </c>
      <c r="AQ38" s="95">
        <v>0</v>
      </c>
      <c r="AR38" s="95">
        <v>0</v>
      </c>
      <c r="AS38" s="95">
        <v>0</v>
      </c>
      <c r="AT38" s="95">
        <v>0</v>
      </c>
      <c r="AU38" s="95">
        <v>-800</v>
      </c>
      <c r="AV38" s="95">
        <v>800</v>
      </c>
      <c r="AW38" s="95">
        <v>800</v>
      </c>
      <c r="AX38" s="104"/>
      <c r="AY38" s="92" t="s">
        <v>211</v>
      </c>
      <c r="AZ38" s="74"/>
    </row>
    <row r="39" s="6" customFormat="1" ht="74.25" customHeight="1" spans="1:55">
      <c r="A39" s="66" t="s">
        <v>212</v>
      </c>
      <c r="B39" s="76" t="s">
        <v>213</v>
      </c>
      <c r="C39" s="72">
        <v>0</v>
      </c>
      <c r="D39" s="72">
        <v>0</v>
      </c>
      <c r="E39" s="72">
        <v>0</v>
      </c>
      <c r="F39" s="72">
        <v>0</v>
      </c>
      <c r="G39" s="69">
        <v>0</v>
      </c>
      <c r="H39" s="72"/>
      <c r="I39" s="131">
        <v>0</v>
      </c>
      <c r="J39" s="131">
        <v>0</v>
      </c>
      <c r="K39" s="131">
        <v>0</v>
      </c>
      <c r="L39" s="131">
        <v>0</v>
      </c>
      <c r="M39" s="131">
        <v>0</v>
      </c>
      <c r="N39" s="131">
        <v>0</v>
      </c>
      <c r="O39" s="131">
        <v>0</v>
      </c>
      <c r="P39" s="131">
        <v>0</v>
      </c>
      <c r="Q39" s="131">
        <v>0</v>
      </c>
      <c r="R39" s="131">
        <v>0</v>
      </c>
      <c r="S39" s="69">
        <v>0</v>
      </c>
      <c r="T39" s="69">
        <v>0</v>
      </c>
      <c r="U39" s="131"/>
      <c r="V39" s="131">
        <v>25.17</v>
      </c>
      <c r="W39" s="73">
        <v>0</v>
      </c>
      <c r="X39" s="69">
        <v>0</v>
      </c>
      <c r="Y39" s="78" t="s">
        <v>214</v>
      </c>
      <c r="Z39" s="131">
        <v>202.01</v>
      </c>
      <c r="AA39" s="69">
        <v>0</v>
      </c>
      <c r="AB39" s="69">
        <v>0</v>
      </c>
      <c r="AC39" s="78" t="s">
        <v>215</v>
      </c>
      <c r="AD39" s="131">
        <v>0</v>
      </c>
      <c r="AE39" s="73">
        <v>0</v>
      </c>
      <c r="AF39" s="73"/>
      <c r="AG39" s="83">
        <v>-236</v>
      </c>
      <c r="AH39" s="84">
        <v>-217</v>
      </c>
      <c r="AI39" s="84">
        <v>187</v>
      </c>
      <c r="AJ39" s="84">
        <v>1</v>
      </c>
      <c r="AK39" s="84">
        <v>50</v>
      </c>
      <c r="AL39" s="84">
        <v>0</v>
      </c>
      <c r="AM39" s="84">
        <v>10</v>
      </c>
      <c r="AN39" s="84">
        <v>125</v>
      </c>
      <c r="AO39" s="84">
        <v>0</v>
      </c>
      <c r="AP39" s="84">
        <v>15</v>
      </c>
      <c r="AQ39" s="84">
        <v>0</v>
      </c>
      <c r="AR39" s="84">
        <v>110</v>
      </c>
      <c r="AS39" s="84">
        <v>0</v>
      </c>
      <c r="AT39" s="84">
        <v>-168</v>
      </c>
      <c r="AU39" s="84">
        <v>99</v>
      </c>
      <c r="AV39" s="84">
        <v>0</v>
      </c>
      <c r="AW39" s="84"/>
      <c r="AX39" s="85">
        <v>3300</v>
      </c>
      <c r="AY39" s="92" t="s">
        <v>216</v>
      </c>
      <c r="AZ39" s="109" t="s">
        <v>217</v>
      </c>
    </row>
    <row r="40" s="6" customFormat="1" ht="141" customHeight="1" spans="1:55">
      <c r="A40" s="66" t="s">
        <v>218</v>
      </c>
      <c r="B40" s="76" t="s">
        <v>219</v>
      </c>
      <c r="C40" s="72">
        <v>154</v>
      </c>
      <c r="D40" s="72">
        <v>47</v>
      </c>
      <c r="E40" s="72">
        <v>201</v>
      </c>
      <c r="F40" s="72">
        <v>265</v>
      </c>
      <c r="G40" s="69">
        <v>0.3237</v>
      </c>
      <c r="H40" s="95" t="s">
        <v>220</v>
      </c>
      <c r="I40" s="131">
        <v>35.61</v>
      </c>
      <c r="J40" s="131">
        <v>71.72</v>
      </c>
      <c r="K40" s="131">
        <v>35.37</v>
      </c>
      <c r="L40" s="131">
        <v>57.83</v>
      </c>
      <c r="M40" s="131">
        <v>37.15</v>
      </c>
      <c r="N40" s="131">
        <v>91.15</v>
      </c>
      <c r="O40" s="131">
        <v>70.78</v>
      </c>
      <c r="P40" s="131">
        <v>66.37</v>
      </c>
      <c r="Q40" s="131">
        <v>176.98</v>
      </c>
      <c r="R40" s="131">
        <v>88.47</v>
      </c>
      <c r="S40" s="69">
        <v>0.1048</v>
      </c>
      <c r="T40" s="69">
        <v>0.2</v>
      </c>
      <c r="U40" s="78" t="s">
        <v>221</v>
      </c>
      <c r="V40" s="131">
        <v>67.6</v>
      </c>
      <c r="W40" s="73">
        <v>0.25</v>
      </c>
      <c r="X40" s="69">
        <v>0.308</v>
      </c>
      <c r="Y40" s="78" t="s">
        <v>222</v>
      </c>
      <c r="Z40" s="131">
        <v>276.19</v>
      </c>
      <c r="AA40" s="69">
        <v>1.0405</v>
      </c>
      <c r="AB40" s="69">
        <v>1.3793</v>
      </c>
      <c r="AC40" s="78" t="s">
        <v>223</v>
      </c>
      <c r="AD40" s="131">
        <v>0</v>
      </c>
      <c r="AE40" s="73">
        <v>0</v>
      </c>
      <c r="AF40" s="73"/>
      <c r="AG40" s="83">
        <v>-292</v>
      </c>
      <c r="AH40" s="84">
        <v>-318</v>
      </c>
      <c r="AI40" s="84">
        <v>342</v>
      </c>
      <c r="AJ40" s="84">
        <v>39</v>
      </c>
      <c r="AK40" s="84">
        <v>0</v>
      </c>
      <c r="AL40" s="84">
        <v>0</v>
      </c>
      <c r="AM40" s="84">
        <v>18</v>
      </c>
      <c r="AN40" s="84">
        <v>289</v>
      </c>
      <c r="AO40" s="84">
        <v>118</v>
      </c>
      <c r="AP40" s="84">
        <v>0</v>
      </c>
      <c r="AQ40" s="84">
        <v>0</v>
      </c>
      <c r="AR40" s="84">
        <v>171</v>
      </c>
      <c r="AS40" s="84">
        <v>0</v>
      </c>
      <c r="AT40" s="84">
        <v>-285</v>
      </c>
      <c r="AU40" s="84">
        <v>-10</v>
      </c>
      <c r="AV40" s="84">
        <v>0</v>
      </c>
      <c r="AW40" s="84">
        <v>0</v>
      </c>
      <c r="AX40" s="85">
        <v>300</v>
      </c>
      <c r="AY40" s="92" t="s">
        <v>224</v>
      </c>
      <c r="AZ40" s="109" t="s">
        <v>415</v>
      </c>
    </row>
    <row r="41" s="6" customFormat="1" ht="195" customHeight="1" spans="1:55">
      <c r="A41" s="66" t="s">
        <v>225</v>
      </c>
      <c r="B41" s="76" t="s">
        <v>226</v>
      </c>
      <c r="C41" s="95">
        <v>719.28</v>
      </c>
      <c r="D41" s="95">
        <v>134.109990926399</v>
      </c>
      <c r="E41" s="95">
        <v>853.389990926399</v>
      </c>
      <c r="F41" s="95">
        <v>1186.50478374192</v>
      </c>
      <c r="G41" s="101">
        <v>0.390342980767688</v>
      </c>
      <c r="H41" s="98" t="s">
        <v>227</v>
      </c>
      <c r="I41" s="139">
        <v>166.27</v>
      </c>
      <c r="J41" s="139">
        <v>209.21</v>
      </c>
      <c r="K41" s="139">
        <v>264.74</v>
      </c>
      <c r="L41" s="139">
        <v>213.169990926399</v>
      </c>
      <c r="M41" s="139">
        <v>244.893925641024</v>
      </c>
      <c r="N41" s="139">
        <v>285.023091666571</v>
      </c>
      <c r="O41" s="139">
        <v>243.704784083167</v>
      </c>
      <c r="P41" s="139">
        <v>412.88298235116</v>
      </c>
      <c r="Q41" s="139">
        <v>329.105877667672</v>
      </c>
      <c r="R41" s="139">
        <v>857.398906074249</v>
      </c>
      <c r="S41" s="101">
        <v>0.495186415307592</v>
      </c>
      <c r="T41" s="101">
        <v>0.524882070594476</v>
      </c>
      <c r="U41" s="100"/>
      <c r="V41" s="113">
        <v>195.5344</v>
      </c>
      <c r="W41" s="97">
        <v>0.164798661311197</v>
      </c>
      <c r="X41" s="101">
        <v>0.158609547146275</v>
      </c>
      <c r="Y41" s="98" t="s">
        <v>228</v>
      </c>
      <c r="Z41" s="111">
        <v>1482.852425</v>
      </c>
      <c r="AA41" s="101">
        <v>1.24976523088552</v>
      </c>
      <c r="AB41" s="101">
        <v>1.45996811100103</v>
      </c>
      <c r="AC41" s="98" t="s">
        <v>229</v>
      </c>
      <c r="AD41" s="95">
        <v>0</v>
      </c>
      <c r="AE41" s="97">
        <v>0</v>
      </c>
      <c r="AF41" s="102"/>
      <c r="AG41" s="95">
        <v>-1170.35173733929</v>
      </c>
      <c r="AH41" s="140">
        <v>-1113.05084253378</v>
      </c>
      <c r="AI41" s="140">
        <v>2469.283964</v>
      </c>
      <c r="AJ41" s="141">
        <v>1335.36</v>
      </c>
      <c r="AK41" s="140">
        <v>0.96</v>
      </c>
      <c r="AL41" s="140">
        <v>150.96</v>
      </c>
      <c r="AM41" s="140">
        <v>142.32</v>
      </c>
      <c r="AN41" s="140">
        <v>419.811564</v>
      </c>
      <c r="AO41" s="140">
        <v>0</v>
      </c>
      <c r="AP41" s="142">
        <v>10.885152</v>
      </c>
      <c r="AQ41" s="140">
        <v>0</v>
      </c>
      <c r="AR41" s="142">
        <v>408.926412</v>
      </c>
      <c r="AS41" s="140">
        <v>0</v>
      </c>
      <c r="AT41" s="142">
        <v>-409.646825</v>
      </c>
      <c r="AU41" s="142">
        <v>-52.8</v>
      </c>
      <c r="AV41" s="142">
        <v>0</v>
      </c>
      <c r="AW41" s="140">
        <v>180</v>
      </c>
      <c r="AX41" s="143"/>
      <c r="AY41" s="144" t="s">
        <v>416</v>
      </c>
      <c r="AZ41" s="109" t="s">
        <v>417</v>
      </c>
    </row>
    <row r="42" s="6" customFormat="1" ht="120.75" customHeight="1" spans="1:55">
      <c r="A42" s="66" t="s">
        <v>231</v>
      </c>
      <c r="B42" s="76" t="s">
        <v>232</v>
      </c>
      <c r="C42" s="72">
        <v>267.49</v>
      </c>
      <c r="D42" s="72">
        <v>64.48</v>
      </c>
      <c r="E42" s="72">
        <v>331</v>
      </c>
      <c r="F42" s="72">
        <v>2126</v>
      </c>
      <c r="G42" s="69">
        <v>5.42</v>
      </c>
      <c r="H42" s="72"/>
      <c r="I42" s="131">
        <v>63.368326</v>
      </c>
      <c r="J42" s="131">
        <v>75.192326</v>
      </c>
      <c r="K42" s="131">
        <v>96.509341</v>
      </c>
      <c r="L42" s="131">
        <v>96.915573</v>
      </c>
      <c r="M42" s="131">
        <v>282.960334</v>
      </c>
      <c r="N42" s="131">
        <v>459.985334</v>
      </c>
      <c r="O42" s="131">
        <v>665.500334</v>
      </c>
      <c r="P42" s="131">
        <v>717.660334</v>
      </c>
      <c r="Q42" s="131">
        <v>1931.71</v>
      </c>
      <c r="R42" s="131">
        <v>194.4</v>
      </c>
      <c r="S42" s="69">
        <v>0.0176</v>
      </c>
      <c r="T42" s="69">
        <v>0.0808</v>
      </c>
      <c r="U42" s="72"/>
      <c r="V42" s="131">
        <v>0</v>
      </c>
      <c r="W42" s="73">
        <v>0</v>
      </c>
      <c r="X42" s="69">
        <v>0.0197</v>
      </c>
      <c r="Y42" s="72"/>
      <c r="Z42" s="131">
        <v>1224</v>
      </c>
      <c r="AA42" s="69">
        <v>0.57</v>
      </c>
      <c r="AB42" s="69">
        <v>2.07</v>
      </c>
      <c r="AC42" s="72"/>
      <c r="AD42" s="131">
        <v>236</v>
      </c>
      <c r="AE42" s="73">
        <v>0.11</v>
      </c>
      <c r="AF42" s="73"/>
      <c r="AG42" s="72">
        <v>-1424.57</v>
      </c>
      <c r="AH42" s="72">
        <v>-963.55</v>
      </c>
      <c r="AI42" s="72">
        <f>SUM(AJ42:AS42)</f>
        <v>1286.37</v>
      </c>
      <c r="AJ42" s="83">
        <v>1032.25</v>
      </c>
      <c r="AK42" s="84">
        <v>33.35</v>
      </c>
      <c r="AL42" s="84">
        <v>36.34</v>
      </c>
      <c r="AM42" s="84">
        <v>0.72</v>
      </c>
      <c r="AN42" s="84"/>
      <c r="AO42" s="84"/>
      <c r="AP42" s="84"/>
      <c r="AQ42" s="84">
        <v>115.44</v>
      </c>
      <c r="AR42" s="84">
        <v>68.27</v>
      </c>
      <c r="AS42" s="84"/>
      <c r="AT42" s="84">
        <v>-356.81</v>
      </c>
      <c r="AU42" s="84">
        <v>-3924</v>
      </c>
      <c r="AV42" s="84">
        <v>4250</v>
      </c>
      <c r="AW42" s="84">
        <v>4250</v>
      </c>
      <c r="AX42" s="91"/>
      <c r="AY42" s="92" t="s">
        <v>418</v>
      </c>
      <c r="AZ42" s="109" t="s">
        <v>419</v>
      </c>
    </row>
    <row r="43" s="6" customFormat="1" ht="26.4" customHeight="1" spans="1:55">
      <c r="A43" s="66" t="s">
        <v>239</v>
      </c>
      <c r="B43" s="76" t="s">
        <v>240</v>
      </c>
      <c r="C43" s="72"/>
      <c r="D43" s="72"/>
      <c r="E43" s="72"/>
      <c r="F43" s="72"/>
      <c r="G43" s="69"/>
      <c r="H43" s="72"/>
      <c r="I43" s="72"/>
      <c r="J43" s="72"/>
      <c r="K43" s="72"/>
      <c r="L43" s="72"/>
      <c r="M43" s="72"/>
      <c r="N43" s="72"/>
      <c r="O43" s="72"/>
      <c r="P43" s="72"/>
      <c r="Q43" s="72"/>
      <c r="R43" s="72"/>
      <c r="S43" s="69"/>
      <c r="T43" s="69"/>
      <c r="U43" s="72"/>
      <c r="V43" s="72"/>
      <c r="W43" s="73"/>
      <c r="X43" s="69"/>
      <c r="Y43" s="72"/>
      <c r="Z43" s="72"/>
      <c r="AA43" s="69"/>
      <c r="AB43" s="69"/>
      <c r="AC43" s="72"/>
      <c r="AD43" s="72"/>
      <c r="AE43" s="73"/>
      <c r="AF43" s="73"/>
      <c r="AG43" s="72"/>
      <c r="AH43" s="72"/>
      <c r="AI43" s="72"/>
      <c r="AJ43" s="83"/>
      <c r="AK43" s="84"/>
      <c r="AL43" s="84"/>
      <c r="AM43" s="84"/>
      <c r="AN43" s="84"/>
      <c r="AO43" s="84"/>
      <c r="AP43" s="84"/>
      <c r="AQ43" s="84"/>
      <c r="AR43" s="84"/>
      <c r="AS43" s="84"/>
      <c r="AT43" s="84"/>
      <c r="AU43" s="84"/>
      <c r="AV43" s="84"/>
      <c r="AW43" s="84"/>
      <c r="AX43" s="85"/>
      <c r="AY43" s="82"/>
      <c r="AZ43" s="74"/>
      <c r="BC43" s="11" t="s">
        <v>70</v>
      </c>
    </row>
    <row r="44" s="6" customFormat="1" ht="89.25" customHeight="1" spans="1:55">
      <c r="A44" s="66" t="s">
        <v>248</v>
      </c>
      <c r="B44" s="76" t="s">
        <v>249</v>
      </c>
      <c r="C44" s="95">
        <v>0</v>
      </c>
      <c r="D44" s="95">
        <v>0</v>
      </c>
      <c r="E44" s="112">
        <v>0</v>
      </c>
      <c r="F44" s="112">
        <v>39</v>
      </c>
      <c r="G44" s="101">
        <v>1</v>
      </c>
      <c r="H44" s="98" t="s">
        <v>250</v>
      </c>
      <c r="I44" s="95">
        <v>0</v>
      </c>
      <c r="J44" s="112">
        <v>0</v>
      </c>
      <c r="K44" s="112">
        <v>0</v>
      </c>
      <c r="L44" s="112">
        <v>0</v>
      </c>
      <c r="M44" s="112">
        <v>0</v>
      </c>
      <c r="N44" s="112">
        <v>0</v>
      </c>
      <c r="O44" s="112">
        <v>0</v>
      </c>
      <c r="P44" s="95">
        <v>39</v>
      </c>
      <c r="Q44" s="112">
        <v>39</v>
      </c>
      <c r="R44" s="112">
        <v>0</v>
      </c>
      <c r="S44" s="101">
        <v>0</v>
      </c>
      <c r="T44" s="101">
        <v>1</v>
      </c>
      <c r="U44" s="100"/>
      <c r="V44" s="95">
        <v>0</v>
      </c>
      <c r="W44" s="97">
        <v>0</v>
      </c>
      <c r="X44" s="101">
        <v>0</v>
      </c>
      <c r="Y44" s="100"/>
      <c r="Z44" s="95">
        <v>97.44</v>
      </c>
      <c r="AA44" s="101">
        <v>2.49846153846154</v>
      </c>
      <c r="AB44" s="101">
        <v>0</v>
      </c>
      <c r="AC44" s="145" t="s">
        <v>251</v>
      </c>
      <c r="AD44" s="95">
        <v>0</v>
      </c>
      <c r="AE44" s="97">
        <v>0</v>
      </c>
      <c r="AF44" s="102"/>
      <c r="AG44" s="96">
        <v>-66.44</v>
      </c>
      <c r="AH44" s="96">
        <v>-127.86</v>
      </c>
      <c r="AI44" s="146">
        <v>97.44</v>
      </c>
      <c r="AJ44" s="136">
        <v>75.36</v>
      </c>
      <c r="AK44" s="95">
        <v>0</v>
      </c>
      <c r="AL44" s="137">
        <v>22.08</v>
      </c>
      <c r="AM44" s="95">
        <v>0</v>
      </c>
      <c r="AN44" s="95">
        <v>0</v>
      </c>
      <c r="AO44" s="95">
        <v>0</v>
      </c>
      <c r="AP44" s="95">
        <v>0</v>
      </c>
      <c r="AQ44" s="95">
        <v>0</v>
      </c>
      <c r="AR44" s="95">
        <v>0</v>
      </c>
      <c r="AS44" s="95">
        <v>0</v>
      </c>
      <c r="AT44" s="95">
        <v>34</v>
      </c>
      <c r="AU44" s="95">
        <v>0</v>
      </c>
      <c r="AV44" s="95">
        <v>0</v>
      </c>
      <c r="AW44" s="95">
        <v>0</v>
      </c>
      <c r="AX44" s="120" t="s">
        <v>89</v>
      </c>
      <c r="AY44" s="92" t="s">
        <v>420</v>
      </c>
      <c r="AZ44" s="74"/>
    </row>
    <row r="45" s="6" customFormat="1" ht="76.5" customHeight="1" spans="1:55">
      <c r="A45" s="66" t="s">
        <v>253</v>
      </c>
      <c r="B45" s="76" t="s">
        <v>254</v>
      </c>
      <c r="C45" s="95">
        <v>221.35</v>
      </c>
      <c r="D45" s="95">
        <v>56.21</v>
      </c>
      <c r="E45" s="95">
        <v>277.56</v>
      </c>
      <c r="F45" s="95">
        <v>215.91</v>
      </c>
      <c r="G45" s="101">
        <v>-0.222114137483787</v>
      </c>
      <c r="H45" s="78" t="s">
        <v>255</v>
      </c>
      <c r="I45" s="95">
        <v>61.18</v>
      </c>
      <c r="J45" s="95">
        <v>83.84</v>
      </c>
      <c r="K45" s="95">
        <v>58.34</v>
      </c>
      <c r="L45" s="95">
        <v>74.2</v>
      </c>
      <c r="M45" s="95">
        <v>52.34</v>
      </c>
      <c r="N45" s="95">
        <v>50.37</v>
      </c>
      <c r="O45" s="95">
        <v>50.37</v>
      </c>
      <c r="P45" s="95">
        <v>62.83</v>
      </c>
      <c r="Q45" s="95">
        <v>215.91</v>
      </c>
      <c r="R45" s="95">
        <v>0</v>
      </c>
      <c r="S45" s="101">
        <v>0.0108084738434933</v>
      </c>
      <c r="T45" s="101">
        <v>0</v>
      </c>
      <c r="U45" s="100"/>
      <c r="V45" s="147">
        <v>0</v>
      </c>
      <c r="W45" s="97">
        <v>0</v>
      </c>
      <c r="X45" s="101">
        <v>0.0450713359273671</v>
      </c>
      <c r="Y45" s="100"/>
      <c r="Z45" s="147">
        <v>1.21</v>
      </c>
      <c r="AA45" s="101">
        <v>0.00560418692973924</v>
      </c>
      <c r="AB45" s="101">
        <v>0.295287505404237</v>
      </c>
      <c r="AC45" s="98" t="s">
        <v>421</v>
      </c>
      <c r="AD45" s="147">
        <v>162.64</v>
      </c>
      <c r="AE45" s="97">
        <v>0.753276828308091</v>
      </c>
      <c r="AF45" s="102" t="s">
        <v>257</v>
      </c>
      <c r="AG45" s="95">
        <v>-166.7</v>
      </c>
      <c r="AH45" s="103">
        <v>-122.67</v>
      </c>
      <c r="AI45" s="126">
        <v>266.92</v>
      </c>
      <c r="AJ45" s="148">
        <v>0.61</v>
      </c>
      <c r="AK45" s="95">
        <v>0</v>
      </c>
      <c r="AL45" s="95">
        <v>0</v>
      </c>
      <c r="AM45" s="126">
        <v>50.4</v>
      </c>
      <c r="AN45" s="95">
        <v>215.91</v>
      </c>
      <c r="AO45" s="95">
        <v>0</v>
      </c>
      <c r="AP45" s="95">
        <v>0</v>
      </c>
      <c r="AQ45" s="95">
        <v>176.98</v>
      </c>
      <c r="AR45" s="95">
        <v>38.93</v>
      </c>
      <c r="AS45" s="95">
        <v>0</v>
      </c>
      <c r="AT45" s="95">
        <v>-163.86</v>
      </c>
      <c r="AU45" s="95">
        <v>0</v>
      </c>
      <c r="AV45" s="95">
        <v>0</v>
      </c>
      <c r="AW45" s="95">
        <v>100</v>
      </c>
      <c r="AX45" s="149" t="s">
        <v>422</v>
      </c>
      <c r="AY45" s="150" t="s">
        <v>423</v>
      </c>
      <c r="AZ45" s="74"/>
    </row>
    <row r="46" s="6" customFormat="1" ht="168.75" customHeight="1" spans="1:55">
      <c r="A46" s="66" t="s">
        <v>259</v>
      </c>
      <c r="B46" s="76" t="s">
        <v>260</v>
      </c>
      <c r="C46" s="95">
        <v>93.2734905660377</v>
      </c>
      <c r="D46" s="95">
        <v>35.8490566037736</v>
      </c>
      <c r="E46" s="95">
        <v>129.122547169811</v>
      </c>
      <c r="F46" s="96">
        <v>809.433962264151</v>
      </c>
      <c r="G46" s="101">
        <v>5.26872672516017</v>
      </c>
      <c r="H46" s="78" t="s">
        <v>261</v>
      </c>
      <c r="I46" s="118">
        <v>3.00943396226415</v>
      </c>
      <c r="J46" s="118">
        <v>16.5122641509434</v>
      </c>
      <c r="K46" s="118">
        <v>33.092358490566</v>
      </c>
      <c r="L46" s="118">
        <v>76.5084905660377</v>
      </c>
      <c r="M46" s="118">
        <v>97.1698113207547</v>
      </c>
      <c r="N46" s="118">
        <v>210.377358490566</v>
      </c>
      <c r="O46" s="118">
        <v>216.981132075472</v>
      </c>
      <c r="P46" s="118">
        <v>284.905660377358</v>
      </c>
      <c r="Q46" s="118">
        <v>0</v>
      </c>
      <c r="R46" s="118">
        <v>809.433962264151</v>
      </c>
      <c r="S46" s="101">
        <v>-0.989174916617899</v>
      </c>
      <c r="T46" s="101">
        <v>0.45944618041958</v>
      </c>
      <c r="U46" s="125" t="s">
        <v>262</v>
      </c>
      <c r="V46" s="139">
        <v>15.85</v>
      </c>
      <c r="W46" s="97">
        <v>0.0195815850815851</v>
      </c>
      <c r="X46" s="101">
        <v>0.0530503784981212</v>
      </c>
      <c r="Y46" s="145" t="s">
        <v>424</v>
      </c>
      <c r="Z46" s="118">
        <v>349.656116</v>
      </c>
      <c r="AA46" s="101">
        <v>0.431976087365967</v>
      </c>
      <c r="AB46" s="101">
        <v>3.30436237010475</v>
      </c>
      <c r="AC46" s="125" t="s">
        <v>264</v>
      </c>
      <c r="AD46" s="95">
        <v>0</v>
      </c>
      <c r="AE46" s="97">
        <v>0</v>
      </c>
      <c r="AF46" s="102"/>
      <c r="AG46" s="138">
        <v>2.34522626415095</v>
      </c>
      <c r="AH46" s="138">
        <v>-545.328534830189</v>
      </c>
      <c r="AI46" s="151">
        <v>586.208736</v>
      </c>
      <c r="AJ46" s="103">
        <v>24</v>
      </c>
      <c r="AK46" s="137">
        <v>1.08</v>
      </c>
      <c r="AL46" s="137">
        <v>0</v>
      </c>
      <c r="AM46" s="137">
        <v>73.4</v>
      </c>
      <c r="AN46" s="137">
        <v>487.728736</v>
      </c>
      <c r="AO46" s="95">
        <v>384.52262</v>
      </c>
      <c r="AP46" s="95">
        <v>0</v>
      </c>
      <c r="AQ46" s="95">
        <v>0</v>
      </c>
      <c r="AR46" s="95">
        <v>103.206116</v>
      </c>
      <c r="AS46" s="95">
        <v>0</v>
      </c>
      <c r="AT46" s="138">
        <v>-340.426136</v>
      </c>
      <c r="AU46" s="138">
        <v>0</v>
      </c>
      <c r="AV46" s="138">
        <v>0</v>
      </c>
      <c r="AW46" s="138">
        <v>300</v>
      </c>
      <c r="AX46" s="149" t="s">
        <v>265</v>
      </c>
      <c r="AY46" s="92" t="s">
        <v>425</v>
      </c>
      <c r="AZ46" s="109"/>
    </row>
    <row r="47" s="6" customFormat="1" ht="127.5" customHeight="1" spans="1:55">
      <c r="A47" s="66" t="s">
        <v>267</v>
      </c>
      <c r="B47" s="76" t="s">
        <v>268</v>
      </c>
      <c r="C47" s="72">
        <v>21</v>
      </c>
      <c r="D47" s="72">
        <v>46</v>
      </c>
      <c r="E47" s="72">
        <v>67</v>
      </c>
      <c r="F47" s="72">
        <v>1789</v>
      </c>
      <c r="G47" s="69">
        <f>(F47-E47)/E47*100%</f>
        <v>25.7014925373134</v>
      </c>
      <c r="H47" s="78" t="s">
        <v>269</v>
      </c>
      <c r="I47" s="131">
        <v>3.597094</v>
      </c>
      <c r="J47" s="131">
        <v>5.324025</v>
      </c>
      <c r="K47" s="131">
        <v>9.571803</v>
      </c>
      <c r="L47" s="131">
        <v>48.5389753715955</v>
      </c>
      <c r="M47" s="131">
        <v>182.009111955108</v>
      </c>
      <c r="N47" s="131">
        <v>480.708870823229</v>
      </c>
      <c r="O47" s="131">
        <v>498.285755640251</v>
      </c>
      <c r="P47" s="131">
        <v>628.728460726204</v>
      </c>
      <c r="Q47" s="131">
        <v>64.55</v>
      </c>
      <c r="R47" s="131">
        <v>1725.18</v>
      </c>
      <c r="S47" s="69">
        <v>-0.044</v>
      </c>
      <c r="T47" s="69">
        <v>0.29</v>
      </c>
      <c r="U47" s="95" t="s">
        <v>270</v>
      </c>
      <c r="V47" s="131">
        <v>237</v>
      </c>
      <c r="W47" s="69">
        <v>0.1324</v>
      </c>
      <c r="X47" s="69">
        <v>0.94</v>
      </c>
      <c r="Y47" s="95" t="s">
        <v>271</v>
      </c>
      <c r="Z47" s="131">
        <v>613.78</v>
      </c>
      <c r="AA47" s="69">
        <v>0.343</v>
      </c>
      <c r="AB47" s="69">
        <v>4.85</v>
      </c>
      <c r="AC47" s="95" t="s">
        <v>272</v>
      </c>
      <c r="AD47" s="131">
        <v>14.26</v>
      </c>
      <c r="AE47" s="69">
        <v>0.008</v>
      </c>
      <c r="AF47" s="97" t="s">
        <v>273</v>
      </c>
      <c r="AG47" s="72">
        <v>-576</v>
      </c>
      <c r="AH47" s="72">
        <v>-423</v>
      </c>
      <c r="AI47" s="72">
        <f>SUM(AJ47:AN47)</f>
        <v>726.04</v>
      </c>
      <c r="AJ47" s="83">
        <v>407.28</v>
      </c>
      <c r="AK47" s="84">
        <v>94.52</v>
      </c>
      <c r="AL47" s="84">
        <v>0.33</v>
      </c>
      <c r="AM47" s="84">
        <v>0</v>
      </c>
      <c r="AN47" s="84">
        <f>SUM(AO47:AS47)</f>
        <v>223.91</v>
      </c>
      <c r="AO47" s="84"/>
      <c r="AP47" s="84">
        <v>124</v>
      </c>
      <c r="AQ47" s="84">
        <v>12.91</v>
      </c>
      <c r="AR47" s="84">
        <v>87</v>
      </c>
      <c r="AS47" s="84"/>
      <c r="AT47" s="84">
        <v>-109</v>
      </c>
      <c r="AU47" s="84">
        <v>-15774</v>
      </c>
      <c r="AV47" s="84">
        <v>-15963</v>
      </c>
      <c r="AW47" s="84">
        <v>420</v>
      </c>
      <c r="AX47" s="85"/>
      <c r="AY47" s="92" t="s">
        <v>426</v>
      </c>
      <c r="AZ47" s="74"/>
    </row>
    <row r="48" s="6" customFormat="1" ht="26.4" customHeight="1" spans="1:55">
      <c r="A48" s="66" t="s">
        <v>275</v>
      </c>
      <c r="B48" s="76" t="s">
        <v>276</v>
      </c>
      <c r="C48" s="72"/>
      <c r="D48" s="72"/>
      <c r="E48" s="72"/>
      <c r="F48" s="72"/>
      <c r="G48" s="69"/>
      <c r="H48" s="72"/>
      <c r="I48" s="72"/>
      <c r="J48" s="72"/>
      <c r="K48" s="72"/>
      <c r="L48" s="72"/>
      <c r="M48" s="72"/>
      <c r="N48" s="72"/>
      <c r="O48" s="72"/>
      <c r="P48" s="72"/>
      <c r="Q48" s="72"/>
      <c r="R48" s="72"/>
      <c r="S48" s="69"/>
      <c r="T48" s="69"/>
      <c r="U48" s="72"/>
      <c r="V48" s="72"/>
      <c r="W48" s="73"/>
      <c r="X48" s="69"/>
      <c r="Y48" s="72"/>
      <c r="Z48" s="72"/>
      <c r="AA48" s="69"/>
      <c r="AB48" s="69"/>
      <c r="AC48" s="72"/>
      <c r="AD48" s="72"/>
      <c r="AE48" s="73"/>
      <c r="AF48" s="73"/>
      <c r="AG48" s="72"/>
      <c r="AH48" s="72"/>
      <c r="AI48" s="72"/>
      <c r="AJ48" s="83"/>
      <c r="AK48" s="84"/>
      <c r="AL48" s="84"/>
      <c r="AM48" s="84"/>
      <c r="AN48" s="84"/>
      <c r="AO48" s="84"/>
      <c r="AP48" s="84"/>
      <c r="AQ48" s="84"/>
      <c r="AR48" s="84"/>
      <c r="AS48" s="84"/>
      <c r="AT48" s="84"/>
      <c r="AU48" s="84"/>
      <c r="AV48" s="84"/>
      <c r="AW48" s="84"/>
      <c r="AX48" s="85"/>
      <c r="AY48" s="82"/>
      <c r="AZ48" s="74"/>
    </row>
    <row r="49" s="6" customFormat="1" ht="66.75" customHeight="1" spans="1:55">
      <c r="A49" s="66" t="s">
        <v>277</v>
      </c>
      <c r="B49" s="152" t="s">
        <v>278</v>
      </c>
      <c r="C49" s="153">
        <v>393</v>
      </c>
      <c r="D49" s="154">
        <v>76</v>
      </c>
      <c r="E49" s="154">
        <v>469</v>
      </c>
      <c r="F49" s="155">
        <v>450</v>
      </c>
      <c r="G49" s="156">
        <v>-0.0417</v>
      </c>
      <c r="H49" s="157" t="s">
        <v>181</v>
      </c>
      <c r="I49" s="158">
        <v>116.6</v>
      </c>
      <c r="J49" s="158">
        <v>77.73</v>
      </c>
      <c r="K49" s="158">
        <v>160.15</v>
      </c>
      <c r="L49" s="158">
        <v>114.85</v>
      </c>
      <c r="M49" s="158">
        <v>112.44</v>
      </c>
      <c r="N49" s="158">
        <v>112.44</v>
      </c>
      <c r="O49" s="158">
        <v>112.44</v>
      </c>
      <c r="P49" s="158">
        <v>112.44</v>
      </c>
      <c r="Q49" s="158">
        <v>449.76</v>
      </c>
      <c r="R49" s="154">
        <v>0</v>
      </c>
      <c r="S49" s="156">
        <v>0.0177</v>
      </c>
      <c r="T49" s="156">
        <v>0.2334</v>
      </c>
      <c r="U49" s="154"/>
      <c r="V49" s="154">
        <v>0</v>
      </c>
      <c r="W49" s="159">
        <v>0</v>
      </c>
      <c r="X49" s="156">
        <v>0</v>
      </c>
      <c r="Y49" s="154"/>
      <c r="Z49" s="158">
        <v>138.67</v>
      </c>
      <c r="AA49" s="156">
        <v>0.3083</v>
      </c>
      <c r="AB49" s="156">
        <v>0.0463</v>
      </c>
      <c r="AC49" s="154"/>
      <c r="AD49" s="154">
        <v>0</v>
      </c>
      <c r="AE49" s="159">
        <v>0</v>
      </c>
      <c r="AF49" s="159"/>
      <c r="AG49" s="155">
        <v>-32</v>
      </c>
      <c r="AH49" s="155">
        <v>-14</v>
      </c>
      <c r="AI49" s="160">
        <v>362</v>
      </c>
      <c r="AJ49" s="160">
        <v>345</v>
      </c>
      <c r="AK49" s="161">
        <v>17</v>
      </c>
      <c r="AL49" s="162">
        <v>0</v>
      </c>
      <c r="AM49" s="162">
        <v>0</v>
      </c>
      <c r="AN49" s="162">
        <v>0</v>
      </c>
      <c r="AO49" s="162">
        <v>0</v>
      </c>
      <c r="AP49" s="162">
        <v>0</v>
      </c>
      <c r="AQ49" s="162">
        <v>0</v>
      </c>
      <c r="AR49" s="162">
        <v>0</v>
      </c>
      <c r="AS49" s="162">
        <v>0</v>
      </c>
      <c r="AT49" s="162">
        <v>-35</v>
      </c>
      <c r="AU49" s="162">
        <v>0</v>
      </c>
      <c r="AV49" s="162">
        <v>0</v>
      </c>
      <c r="AW49" s="162">
        <v>0</v>
      </c>
      <c r="AX49" s="120" t="s">
        <v>89</v>
      </c>
      <c r="AY49" s="163" t="s">
        <v>427</v>
      </c>
      <c r="AZ49" s="164"/>
    </row>
    <row r="50" s="9" customFormat="1" ht="106.5" customHeight="1" spans="1:55">
      <c r="A50" s="66" t="s">
        <v>280</v>
      </c>
      <c r="B50" s="165" t="s">
        <v>281</v>
      </c>
      <c r="C50" s="95">
        <v>6.1</v>
      </c>
      <c r="D50" s="95">
        <v>0</v>
      </c>
      <c r="E50" s="95">
        <v>6.1</v>
      </c>
      <c r="F50" s="95">
        <v>9.6</v>
      </c>
      <c r="G50" s="101">
        <v>0.573770491803279</v>
      </c>
      <c r="H50" s="157" t="s">
        <v>181</v>
      </c>
      <c r="I50" s="95">
        <v>2.88</v>
      </c>
      <c r="J50" s="95">
        <v>1.72</v>
      </c>
      <c r="K50" s="95">
        <v>0.76</v>
      </c>
      <c r="L50" s="128">
        <v>0.74</v>
      </c>
      <c r="M50" s="95">
        <v>2.4</v>
      </c>
      <c r="N50" s="95">
        <v>2.4</v>
      </c>
      <c r="O50" s="95">
        <v>2.4</v>
      </c>
      <c r="P50" s="95">
        <v>2.4</v>
      </c>
      <c r="Q50" s="128">
        <v>0</v>
      </c>
      <c r="R50" s="128">
        <v>9.6</v>
      </c>
      <c r="S50" s="101">
        <v>-6.84918032786885</v>
      </c>
      <c r="T50" s="101">
        <v>0.1</v>
      </c>
      <c r="U50" s="166"/>
      <c r="V50" s="128">
        <v>57.4</v>
      </c>
      <c r="W50" s="101">
        <v>5.97916666666667</v>
      </c>
      <c r="X50" s="101">
        <v>16.7540983606557</v>
      </c>
      <c r="Y50" s="167" t="s">
        <v>282</v>
      </c>
      <c r="Z50" s="128">
        <v>9.04</v>
      </c>
      <c r="AA50" s="101">
        <v>0.941666666666667</v>
      </c>
      <c r="AB50" s="101">
        <v>1.57049180327869</v>
      </c>
      <c r="AC50" s="167" t="s">
        <v>283</v>
      </c>
      <c r="AD50" s="128">
        <v>0</v>
      </c>
      <c r="AE50" s="128">
        <v>0</v>
      </c>
      <c r="AF50" s="166"/>
      <c r="AG50" s="128">
        <v>-65.56</v>
      </c>
      <c r="AH50" s="128">
        <v>-152.12</v>
      </c>
      <c r="AI50" s="95">
        <v>47.35</v>
      </c>
      <c r="AJ50" s="95">
        <v>0</v>
      </c>
      <c r="AK50" s="95">
        <v>0</v>
      </c>
      <c r="AL50" s="95">
        <v>0</v>
      </c>
      <c r="AM50" s="95">
        <v>0</v>
      </c>
      <c r="AN50" s="95">
        <v>47.35</v>
      </c>
      <c r="AO50" s="95">
        <v>0</v>
      </c>
      <c r="AP50" s="95">
        <v>38.52</v>
      </c>
      <c r="AQ50" s="95">
        <v>0</v>
      </c>
      <c r="AR50" s="95">
        <v>8.83</v>
      </c>
      <c r="AS50" s="95">
        <v>0</v>
      </c>
      <c r="AT50" s="95">
        <v>335.72</v>
      </c>
      <c r="AU50" s="95">
        <v>0</v>
      </c>
      <c r="AV50" s="95">
        <v>0</v>
      </c>
      <c r="AW50" s="95">
        <v>0</v>
      </c>
      <c r="AX50" s="168"/>
      <c r="AY50" s="163" t="s">
        <v>428</v>
      </c>
      <c r="AZ50" s="169"/>
    </row>
    <row r="51" s="6" customFormat="1" ht="26.4" customHeight="1" spans="1:55">
      <c r="A51" s="66" t="s">
        <v>285</v>
      </c>
      <c r="B51" s="76" t="s">
        <v>286</v>
      </c>
      <c r="C51" s="95">
        <v>0</v>
      </c>
      <c r="D51" s="95">
        <v>0</v>
      </c>
      <c r="E51" s="95">
        <v>0</v>
      </c>
      <c r="F51" s="95">
        <v>0</v>
      </c>
      <c r="G51" s="101">
        <v>0</v>
      </c>
      <c r="H51" s="100"/>
      <c r="I51" s="95">
        <v>0</v>
      </c>
      <c r="J51" s="95">
        <v>0</v>
      </c>
      <c r="K51" s="95">
        <v>0</v>
      </c>
      <c r="L51" s="95">
        <v>0</v>
      </c>
      <c r="M51" s="95">
        <v>0</v>
      </c>
      <c r="N51" s="95">
        <v>0</v>
      </c>
      <c r="O51" s="95">
        <v>0</v>
      </c>
      <c r="P51" s="95">
        <v>0</v>
      </c>
      <c r="Q51" s="95">
        <v>0</v>
      </c>
      <c r="R51" s="95">
        <v>0</v>
      </c>
      <c r="S51" s="101">
        <v>0</v>
      </c>
      <c r="T51" s="101">
        <v>0</v>
      </c>
      <c r="U51" s="100"/>
      <c r="V51" s="95">
        <v>0</v>
      </c>
      <c r="W51" s="97">
        <v>0</v>
      </c>
      <c r="X51" s="101">
        <v>0</v>
      </c>
      <c r="Y51" s="100"/>
      <c r="Z51" s="118">
        <v>0</v>
      </c>
      <c r="AA51" s="101">
        <v>0</v>
      </c>
      <c r="AB51" s="101">
        <v>0</v>
      </c>
      <c r="AC51" s="100"/>
      <c r="AD51" s="95">
        <v>0</v>
      </c>
      <c r="AE51" s="97">
        <v>0</v>
      </c>
      <c r="AF51" s="102"/>
      <c r="AG51" s="95">
        <v>0.001284</v>
      </c>
      <c r="AH51" s="95">
        <v>-9.767316</v>
      </c>
      <c r="AI51" s="170">
        <v>0</v>
      </c>
      <c r="AJ51" s="95">
        <v>0</v>
      </c>
      <c r="AK51" s="95">
        <v>0</v>
      </c>
      <c r="AL51" s="95">
        <v>0</v>
      </c>
      <c r="AM51" s="95">
        <v>0</v>
      </c>
      <c r="AN51" s="95">
        <v>0</v>
      </c>
      <c r="AO51" s="95">
        <v>0</v>
      </c>
      <c r="AP51" s="95">
        <v>0</v>
      </c>
      <c r="AQ51" s="95">
        <v>0</v>
      </c>
      <c r="AR51" s="95">
        <v>0</v>
      </c>
      <c r="AS51" s="95">
        <v>0</v>
      </c>
      <c r="AT51" s="95">
        <v>0</v>
      </c>
      <c r="AU51" s="95">
        <v>0</v>
      </c>
      <c r="AV51" s="95">
        <v>0</v>
      </c>
      <c r="AW51" s="95">
        <v>0</v>
      </c>
      <c r="AX51" s="74"/>
      <c r="AY51" s="92" t="s">
        <v>287</v>
      </c>
      <c r="AZ51" s="74"/>
    </row>
    <row r="52" s="6" customFormat="1" ht="171.75" customHeight="1" spans="1:55">
      <c r="A52" s="66" t="s">
        <v>288</v>
      </c>
      <c r="B52" s="76" t="s">
        <v>289</v>
      </c>
      <c r="C52" s="95">
        <v>4592.286766</v>
      </c>
      <c r="D52" s="112">
        <v>1417.76920353982</v>
      </c>
      <c r="E52" s="95">
        <v>6010.05596953982</v>
      </c>
      <c r="F52" s="95">
        <v>9304.52371639569</v>
      </c>
      <c r="G52" s="101">
        <v>0.548159245696363</v>
      </c>
      <c r="H52" s="98" t="s">
        <v>429</v>
      </c>
      <c r="I52" s="112">
        <v>1665.962579</v>
      </c>
      <c r="J52" s="112">
        <v>1396.385081</v>
      </c>
      <c r="K52" s="112">
        <v>1163.968779</v>
      </c>
      <c r="L52" s="112">
        <v>1783.73953053982</v>
      </c>
      <c r="M52" s="112">
        <v>2883.35324136367</v>
      </c>
      <c r="N52" s="112">
        <v>1869.2215582516</v>
      </c>
      <c r="O52" s="112">
        <v>1918.18065604941</v>
      </c>
      <c r="P52" s="112">
        <v>2633.76826073101</v>
      </c>
      <c r="Q52" s="95">
        <v>12.488288</v>
      </c>
      <c r="R52" s="112">
        <v>9292.03542839569</v>
      </c>
      <c r="S52" s="101">
        <v>0.517355564686767</v>
      </c>
      <c r="T52" s="101">
        <v>0.509315491359459</v>
      </c>
      <c r="U52" s="145" t="s">
        <v>291</v>
      </c>
      <c r="V52" s="112">
        <v>1357.716724</v>
      </c>
      <c r="W52" s="97">
        <v>0.145920066989301</v>
      </c>
      <c r="X52" s="101">
        <v>0.210059314987821</v>
      </c>
      <c r="Y52" s="145" t="s">
        <v>430</v>
      </c>
      <c r="Z52" s="112">
        <v>1306.719824</v>
      </c>
      <c r="AA52" s="101">
        <v>0.140439195366594</v>
      </c>
      <c r="AB52" s="101">
        <v>0.154092979356289</v>
      </c>
      <c r="AC52" s="125" t="s">
        <v>431</v>
      </c>
      <c r="AD52" s="96">
        <v>1012.999444</v>
      </c>
      <c r="AE52" s="97">
        <v>0.108871713897077</v>
      </c>
      <c r="AF52" s="171" t="s">
        <v>432</v>
      </c>
      <c r="AG52" s="137">
        <v>867.050839317853</v>
      </c>
      <c r="AH52" s="136">
        <v>312.725899840507</v>
      </c>
      <c r="AI52" s="126">
        <v>1768.710812</v>
      </c>
      <c r="AJ52" s="172">
        <v>25.615356</v>
      </c>
      <c r="AK52" s="95">
        <v>0</v>
      </c>
      <c r="AL52" s="95">
        <v>0</v>
      </c>
      <c r="AM52" s="126">
        <v>42</v>
      </c>
      <c r="AN52" s="126">
        <v>1701.095456</v>
      </c>
      <c r="AO52" s="95">
        <v>418.994428</v>
      </c>
      <c r="AP52" s="95">
        <v>749.577524</v>
      </c>
      <c r="AQ52" s="95">
        <v>292.094088</v>
      </c>
      <c r="AR52" s="95">
        <v>240.429416</v>
      </c>
      <c r="AS52" s="95">
        <v>0</v>
      </c>
      <c r="AT52" s="95">
        <v>922.143137005918</v>
      </c>
      <c r="AU52" s="95">
        <v>-42.38</v>
      </c>
      <c r="AV52" s="95">
        <v>0</v>
      </c>
      <c r="AW52" s="95">
        <v>0</v>
      </c>
      <c r="AX52" s="120" t="s">
        <v>89</v>
      </c>
      <c r="AY52" s="92" t="s">
        <v>433</v>
      </c>
      <c r="AZ52" s="74"/>
    </row>
    <row r="53" s="6" customFormat="1" ht="143.25" customHeight="1" spans="1:55">
      <c r="A53" s="66" t="s">
        <v>296</v>
      </c>
      <c r="B53" s="76" t="s">
        <v>297</v>
      </c>
      <c r="C53" s="95">
        <v>419.92</v>
      </c>
      <c r="D53" s="95">
        <v>311.36</v>
      </c>
      <c r="E53" s="95">
        <v>731.28</v>
      </c>
      <c r="F53" s="95">
        <v>843.073902153949</v>
      </c>
      <c r="G53" s="101">
        <v>0.152874278188859</v>
      </c>
      <c r="H53" s="98" t="s">
        <v>434</v>
      </c>
      <c r="I53" s="112">
        <v>103.27</v>
      </c>
      <c r="J53" s="112">
        <v>161.5</v>
      </c>
      <c r="K53" s="112">
        <v>122.29</v>
      </c>
      <c r="L53" s="112">
        <v>344.22</v>
      </c>
      <c r="M53" s="112">
        <v>130.143012189013</v>
      </c>
      <c r="N53" s="112">
        <v>225.020930038404</v>
      </c>
      <c r="O53" s="112">
        <v>225.019160126899</v>
      </c>
      <c r="P53" s="112">
        <v>262.890799799633</v>
      </c>
      <c r="Q53" s="112">
        <v>0</v>
      </c>
      <c r="R53" s="112">
        <v>843.073902153949</v>
      </c>
      <c r="S53" s="101">
        <v>0.332362432994202</v>
      </c>
      <c r="T53" s="101">
        <v>0.442541059127822</v>
      </c>
      <c r="U53" s="125" t="s">
        <v>435</v>
      </c>
      <c r="V53" s="139">
        <v>263.57</v>
      </c>
      <c r="W53" s="97">
        <v>0.312629769853641</v>
      </c>
      <c r="X53" s="101">
        <v>0.422792911060059</v>
      </c>
      <c r="Y53" s="125" t="s">
        <v>436</v>
      </c>
      <c r="Z53" s="118">
        <v>85.212</v>
      </c>
      <c r="AA53" s="101">
        <v>0.101072989903132</v>
      </c>
      <c r="AB53" s="101">
        <v>0.159836177661087</v>
      </c>
      <c r="AC53" s="98" t="s">
        <v>437</v>
      </c>
      <c r="AD53" s="118">
        <v>0</v>
      </c>
      <c r="AE53" s="118">
        <v>0</v>
      </c>
      <c r="AF53" s="102"/>
      <c r="AG53" s="137">
        <v>22.3328175822341</v>
      </c>
      <c r="AH53" s="137">
        <v>-168.985</v>
      </c>
      <c r="AI53" s="151">
        <v>319.034</v>
      </c>
      <c r="AJ53" s="137">
        <v>18.564</v>
      </c>
      <c r="AK53" s="137">
        <v>0</v>
      </c>
      <c r="AL53" s="137">
        <v>4.56</v>
      </c>
      <c r="AM53" s="137">
        <v>33.6</v>
      </c>
      <c r="AN53" s="137">
        <v>262.31</v>
      </c>
      <c r="AO53" s="95">
        <v>0</v>
      </c>
      <c r="AP53" s="95">
        <v>190.18</v>
      </c>
      <c r="AQ53" s="95">
        <v>0</v>
      </c>
      <c r="AR53" s="95">
        <v>72.13</v>
      </c>
      <c r="AS53" s="95">
        <v>0</v>
      </c>
      <c r="AT53" s="95">
        <v>-91.912</v>
      </c>
      <c r="AU53" s="95">
        <v>0</v>
      </c>
      <c r="AV53" s="138">
        <v>100</v>
      </c>
      <c r="AW53" s="138">
        <v>100</v>
      </c>
      <c r="AX53" s="173" t="s">
        <v>438</v>
      </c>
      <c r="AY53" s="92" t="s">
        <v>439</v>
      </c>
      <c r="AZ53" s="74"/>
    </row>
    <row r="54" s="6" customFormat="1" ht="56.25" customHeight="1" spans="1:55">
      <c r="A54" s="66" t="s">
        <v>305</v>
      </c>
      <c r="B54" s="76" t="s">
        <v>306</v>
      </c>
      <c r="C54" s="95">
        <v>0</v>
      </c>
      <c r="D54" s="95">
        <v>0</v>
      </c>
      <c r="E54" s="95">
        <v>0</v>
      </c>
      <c r="F54" s="95">
        <v>0</v>
      </c>
      <c r="G54" s="101">
        <v>0</v>
      </c>
      <c r="H54" s="100"/>
      <c r="I54" s="112">
        <v>0</v>
      </c>
      <c r="J54" s="112">
        <v>0</v>
      </c>
      <c r="K54" s="112">
        <v>0</v>
      </c>
      <c r="L54" s="112">
        <v>0</v>
      </c>
      <c r="M54" s="112">
        <v>0</v>
      </c>
      <c r="N54" s="112">
        <v>0</v>
      </c>
      <c r="O54" s="112">
        <v>0</v>
      </c>
      <c r="P54" s="112">
        <v>0</v>
      </c>
      <c r="Q54" s="112">
        <v>0</v>
      </c>
      <c r="R54" s="112">
        <v>0</v>
      </c>
      <c r="S54" s="101">
        <v>0</v>
      </c>
      <c r="T54" s="101">
        <v>0</v>
      </c>
      <c r="U54" s="174"/>
      <c r="V54" s="112">
        <v>0</v>
      </c>
      <c r="W54" s="97">
        <v>0</v>
      </c>
      <c r="X54" s="101">
        <v>0</v>
      </c>
      <c r="Y54" s="174"/>
      <c r="Z54" s="112">
        <v>596.5152</v>
      </c>
      <c r="AA54" s="101">
        <v>0</v>
      </c>
      <c r="AB54" s="101">
        <v>0</v>
      </c>
      <c r="AC54" s="124" t="s">
        <v>307</v>
      </c>
      <c r="AD54" s="112">
        <v>0</v>
      </c>
      <c r="AE54" s="97">
        <v>0</v>
      </c>
      <c r="AF54" s="102"/>
      <c r="AG54" s="95">
        <v>-599.9816</v>
      </c>
      <c r="AH54" s="95">
        <v>-250.2023</v>
      </c>
      <c r="AI54" s="95">
        <v>596.5152</v>
      </c>
      <c r="AJ54" s="95">
        <v>0</v>
      </c>
      <c r="AK54" s="95">
        <v>596.5152</v>
      </c>
      <c r="AL54" s="95">
        <v>0</v>
      </c>
      <c r="AM54" s="95">
        <v>0</v>
      </c>
      <c r="AN54" s="95">
        <v>0</v>
      </c>
      <c r="AO54" s="95">
        <v>0</v>
      </c>
      <c r="AP54" s="95">
        <v>0</v>
      </c>
      <c r="AQ54" s="95">
        <v>0</v>
      </c>
      <c r="AR54" s="95">
        <v>0</v>
      </c>
      <c r="AS54" s="95">
        <v>0</v>
      </c>
      <c r="AT54" s="95">
        <v>-3.5248</v>
      </c>
      <c r="AU54" s="95">
        <v>0</v>
      </c>
      <c r="AV54" s="95">
        <v>0</v>
      </c>
      <c r="AW54" s="95">
        <v>0</v>
      </c>
      <c r="AX54" s="175"/>
      <c r="AY54" s="92" t="s">
        <v>309</v>
      </c>
      <c r="AZ54" s="74"/>
    </row>
    <row r="55" s="6" customFormat="1" ht="85.5" customHeight="1" spans="1:55">
      <c r="A55" s="66" t="s">
        <v>310</v>
      </c>
      <c r="B55" s="76" t="s">
        <v>311</v>
      </c>
      <c r="C55" s="95">
        <v>0</v>
      </c>
      <c r="D55" s="95">
        <v>0</v>
      </c>
      <c r="E55" s="95">
        <v>0</v>
      </c>
      <c r="F55" s="95">
        <v>0</v>
      </c>
      <c r="G55" s="101">
        <v>0</v>
      </c>
      <c r="H55" s="100"/>
      <c r="I55" s="95">
        <v>0</v>
      </c>
      <c r="J55" s="95">
        <v>0</v>
      </c>
      <c r="K55" s="95">
        <v>0</v>
      </c>
      <c r="L55" s="95">
        <v>0</v>
      </c>
      <c r="M55" s="95">
        <v>0</v>
      </c>
      <c r="N55" s="95">
        <v>0</v>
      </c>
      <c r="O55" s="95">
        <v>0</v>
      </c>
      <c r="P55" s="95">
        <v>0</v>
      </c>
      <c r="Q55" s="95">
        <v>0</v>
      </c>
      <c r="R55" s="95">
        <v>0</v>
      </c>
      <c r="S55" s="101">
        <v>0</v>
      </c>
      <c r="T55" s="101">
        <v>0</v>
      </c>
      <c r="U55" s="100"/>
      <c r="V55" s="95">
        <v>0</v>
      </c>
      <c r="W55" s="97">
        <v>0</v>
      </c>
      <c r="X55" s="101">
        <v>0</v>
      </c>
      <c r="Y55" s="98"/>
      <c r="Z55" s="139">
        <v>496.9788</v>
      </c>
      <c r="AA55" s="101">
        <v>0</v>
      </c>
      <c r="AB55" s="101">
        <v>0</v>
      </c>
      <c r="AC55" s="98" t="s">
        <v>312</v>
      </c>
      <c r="AD55" s="95">
        <v>0</v>
      </c>
      <c r="AE55" s="97">
        <v>0</v>
      </c>
      <c r="AF55" s="102"/>
      <c r="AG55" s="95">
        <v>-596.6708</v>
      </c>
      <c r="AH55" s="95">
        <v>-589.9348</v>
      </c>
      <c r="AI55" s="95">
        <v>487.3788</v>
      </c>
      <c r="AJ55" s="95">
        <v>439.7688</v>
      </c>
      <c r="AK55" s="95">
        <v>47.61</v>
      </c>
      <c r="AL55" s="95">
        <v>0</v>
      </c>
      <c r="AM55" s="95">
        <v>0</v>
      </c>
      <c r="AN55" s="95">
        <v>0</v>
      </c>
      <c r="AO55" s="95">
        <v>0</v>
      </c>
      <c r="AP55" s="95">
        <v>0</v>
      </c>
      <c r="AQ55" s="95">
        <v>0</v>
      </c>
      <c r="AR55" s="95">
        <v>0</v>
      </c>
      <c r="AS55" s="95">
        <v>0</v>
      </c>
      <c r="AT55" s="95">
        <v>-109.292</v>
      </c>
      <c r="AU55" s="95">
        <v>0</v>
      </c>
      <c r="AV55" s="95">
        <v>0</v>
      </c>
      <c r="AW55" s="95">
        <v>115</v>
      </c>
      <c r="AX55" s="74"/>
      <c r="AY55" s="92" t="s">
        <v>440</v>
      </c>
      <c r="AZ55" s="74"/>
    </row>
    <row r="56" s="6" customFormat="1" ht="153" customHeight="1" spans="1:55">
      <c r="A56" s="66" t="s">
        <v>314</v>
      </c>
      <c r="B56" s="76" t="s">
        <v>315</v>
      </c>
      <c r="C56" s="95">
        <v>0.09</v>
      </c>
      <c r="D56" s="95">
        <v>0</v>
      </c>
      <c r="E56" s="95">
        <v>0.09</v>
      </c>
      <c r="F56" s="95">
        <v>0</v>
      </c>
      <c r="G56" s="101">
        <v>-1</v>
      </c>
      <c r="H56" s="100"/>
      <c r="I56" s="95">
        <v>0.03</v>
      </c>
      <c r="J56" s="95">
        <v>0</v>
      </c>
      <c r="K56" s="112">
        <v>0.06</v>
      </c>
      <c r="L56" s="95">
        <v>0</v>
      </c>
      <c r="M56" s="112">
        <v>0</v>
      </c>
      <c r="N56" s="112">
        <v>0</v>
      </c>
      <c r="O56" s="112">
        <v>0</v>
      </c>
      <c r="P56" s="112">
        <v>0</v>
      </c>
      <c r="Q56" s="95">
        <v>0</v>
      </c>
      <c r="R56" s="95">
        <v>0</v>
      </c>
      <c r="S56" s="101">
        <v>-3404.11111111111</v>
      </c>
      <c r="T56" s="101">
        <v>0</v>
      </c>
      <c r="U56" s="100"/>
      <c r="V56" s="112">
        <v>11.83</v>
      </c>
      <c r="W56" s="101">
        <v>0</v>
      </c>
      <c r="X56" s="101">
        <v>200</v>
      </c>
      <c r="Y56" s="98" t="s">
        <v>441</v>
      </c>
      <c r="Z56" s="112">
        <v>251.81</v>
      </c>
      <c r="AA56" s="101">
        <v>0</v>
      </c>
      <c r="AB56" s="101">
        <v>3366.55555555556</v>
      </c>
      <c r="AC56" s="98" t="s">
        <v>442</v>
      </c>
      <c r="AD56" s="112">
        <v>154.14</v>
      </c>
      <c r="AE56" s="97">
        <v>0</v>
      </c>
      <c r="AF56" s="107" t="s">
        <v>318</v>
      </c>
      <c r="AG56" s="112">
        <v>-731.57</v>
      </c>
      <c r="AH56" s="112">
        <v>-699.31</v>
      </c>
      <c r="AI56" s="95">
        <v>537.98</v>
      </c>
      <c r="AJ56" s="95">
        <v>80.02</v>
      </c>
      <c r="AK56" s="95">
        <v>0.43</v>
      </c>
      <c r="AL56" s="95">
        <v>107.11</v>
      </c>
      <c r="AM56" s="95">
        <v>153.4</v>
      </c>
      <c r="AN56" s="95">
        <v>184.48</v>
      </c>
      <c r="AO56" s="95">
        <v>55.98</v>
      </c>
      <c r="AP56" s="95">
        <v>8.51</v>
      </c>
      <c r="AQ56" s="95">
        <v>0</v>
      </c>
      <c r="AR56" s="95">
        <v>119.99</v>
      </c>
      <c r="AS56" s="95">
        <v>5</v>
      </c>
      <c r="AT56" s="95">
        <v>-437.27</v>
      </c>
      <c r="AU56" s="95">
        <v>0</v>
      </c>
      <c r="AV56" s="95">
        <v>0</v>
      </c>
      <c r="AW56" s="95">
        <v>100</v>
      </c>
      <c r="AX56" s="123"/>
      <c r="AY56" s="144" t="s">
        <v>443</v>
      </c>
      <c r="AZ56" s="176" t="s">
        <v>444</v>
      </c>
    </row>
    <row r="57" s="6" customFormat="1" ht="170.25" customHeight="1" spans="1:55">
      <c r="A57" s="66" t="s">
        <v>321</v>
      </c>
      <c r="B57" s="76" t="s">
        <v>322</v>
      </c>
      <c r="C57" s="95">
        <v>87.01</v>
      </c>
      <c r="D57" s="95">
        <v>65.04</v>
      </c>
      <c r="E57" s="95">
        <v>152.05</v>
      </c>
      <c r="F57" s="95">
        <v>354</v>
      </c>
      <c r="G57" s="101">
        <v>1.32818151923709</v>
      </c>
      <c r="H57" s="124" t="s">
        <v>323</v>
      </c>
      <c r="I57" s="112">
        <v>24.6</v>
      </c>
      <c r="J57" s="112">
        <v>47.84</v>
      </c>
      <c r="K57" s="112">
        <v>11.81</v>
      </c>
      <c r="L57" s="112">
        <v>67.8</v>
      </c>
      <c r="M57" s="112">
        <v>30</v>
      </c>
      <c r="N57" s="112">
        <v>70</v>
      </c>
      <c r="O57" s="112">
        <v>120</v>
      </c>
      <c r="P57" s="112">
        <v>134</v>
      </c>
      <c r="Q57" s="95">
        <v>0</v>
      </c>
      <c r="R57" s="95">
        <v>354</v>
      </c>
      <c r="S57" s="101">
        <v>0.340279513317988</v>
      </c>
      <c r="T57" s="101">
        <v>0.21635593220339</v>
      </c>
      <c r="U57" s="100"/>
      <c r="V57" s="112">
        <v>42.09</v>
      </c>
      <c r="W57" s="101">
        <v>0.118898305084746</v>
      </c>
      <c r="X57" s="101">
        <v>0.255771127918448</v>
      </c>
      <c r="Y57" s="98" t="s">
        <v>445</v>
      </c>
      <c r="Z57" s="112">
        <v>47.75</v>
      </c>
      <c r="AA57" s="101">
        <v>0.134887005649718</v>
      </c>
      <c r="AB57" s="101">
        <v>0.401512660309109</v>
      </c>
      <c r="AC57" s="125" t="s">
        <v>446</v>
      </c>
      <c r="AD57" s="95">
        <v>0</v>
      </c>
      <c r="AE57" s="97">
        <v>0</v>
      </c>
      <c r="AF57" s="102"/>
      <c r="AG57" s="95">
        <v>-13.25</v>
      </c>
      <c r="AH57" s="95">
        <v>-47.8705</v>
      </c>
      <c r="AI57" s="95">
        <v>54.56</v>
      </c>
      <c r="AJ57" s="95">
        <v>0.48</v>
      </c>
      <c r="AK57" s="95">
        <v>0</v>
      </c>
      <c r="AL57" s="95">
        <v>0</v>
      </c>
      <c r="AM57" s="95">
        <v>16.02</v>
      </c>
      <c r="AN57" s="95">
        <v>38.06</v>
      </c>
      <c r="AO57" s="95">
        <v>0</v>
      </c>
      <c r="AP57" s="95">
        <v>15.77</v>
      </c>
      <c r="AQ57" s="95">
        <v>0</v>
      </c>
      <c r="AR57" s="95">
        <v>22.29</v>
      </c>
      <c r="AS57" s="95">
        <v>0</v>
      </c>
      <c r="AT57" s="95">
        <v>-267.66</v>
      </c>
      <c r="AU57" s="95">
        <v>0</v>
      </c>
      <c r="AV57" s="95">
        <v>0</v>
      </c>
      <c r="AW57" s="95">
        <v>300</v>
      </c>
      <c r="AX57" s="74"/>
      <c r="AY57" s="92" t="s">
        <v>447</v>
      </c>
      <c r="AZ57" s="109" t="s">
        <v>448</v>
      </c>
    </row>
    <row r="58" s="6" customFormat="1" ht="26.4" customHeight="1" spans="1:55">
      <c r="A58" s="66" t="s">
        <v>328</v>
      </c>
      <c r="B58" s="76" t="s">
        <v>329</v>
      </c>
      <c r="C58" s="72"/>
      <c r="D58" s="72"/>
      <c r="E58" s="72"/>
      <c r="F58" s="72"/>
      <c r="G58" s="69"/>
      <c r="H58" s="72"/>
      <c r="I58" s="72"/>
      <c r="J58" s="72"/>
      <c r="K58" s="72"/>
      <c r="L58" s="72"/>
      <c r="M58" s="72"/>
      <c r="N58" s="72"/>
      <c r="O58" s="72"/>
      <c r="P58" s="72"/>
      <c r="Q58" s="72"/>
      <c r="R58" s="72"/>
      <c r="S58" s="69"/>
      <c r="T58" s="69"/>
      <c r="U58" s="72"/>
      <c r="V58" s="72"/>
      <c r="W58" s="73"/>
      <c r="X58" s="69"/>
      <c r="Y58" s="72"/>
      <c r="Z58" s="72"/>
      <c r="AA58" s="69"/>
      <c r="AB58" s="69"/>
      <c r="AC58" s="72"/>
      <c r="AD58" s="72"/>
      <c r="AE58" s="73"/>
      <c r="AF58" s="73"/>
      <c r="AG58" s="72"/>
      <c r="AH58" s="72"/>
      <c r="AI58" s="72"/>
      <c r="AJ58" s="72"/>
      <c r="AK58" s="72"/>
      <c r="AL58" s="72"/>
      <c r="AM58" s="72"/>
      <c r="AN58" s="72"/>
      <c r="AO58" s="72"/>
      <c r="AP58" s="72"/>
      <c r="AQ58" s="72"/>
      <c r="AR58" s="72"/>
      <c r="AS58" s="72"/>
      <c r="AT58" s="72"/>
      <c r="AU58" s="72"/>
      <c r="AV58" s="72"/>
      <c r="AW58" s="72"/>
      <c r="AX58" s="74"/>
      <c r="AY58" s="82"/>
      <c r="AZ58" s="74"/>
    </row>
    <row r="59" s="6" customFormat="1" ht="26.4" customHeight="1" spans="1:55">
      <c r="A59" s="66" t="s">
        <v>330</v>
      </c>
      <c r="B59" s="76" t="s">
        <v>331</v>
      </c>
      <c r="C59" s="72"/>
      <c r="D59" s="72"/>
      <c r="E59" s="72"/>
      <c r="F59" s="72"/>
      <c r="G59" s="69"/>
      <c r="H59" s="72"/>
      <c r="I59" s="72"/>
      <c r="J59" s="72"/>
      <c r="K59" s="72"/>
      <c r="L59" s="72"/>
      <c r="M59" s="72"/>
      <c r="N59" s="72"/>
      <c r="O59" s="72"/>
      <c r="P59" s="72"/>
      <c r="Q59" s="72"/>
      <c r="R59" s="72"/>
      <c r="S59" s="69"/>
      <c r="T59" s="69"/>
      <c r="U59" s="72"/>
      <c r="V59" s="72"/>
      <c r="W59" s="73"/>
      <c r="X59" s="69"/>
      <c r="Y59" s="72"/>
      <c r="Z59" s="72"/>
      <c r="AA59" s="69"/>
      <c r="AB59" s="69"/>
      <c r="AC59" s="72"/>
      <c r="AD59" s="72"/>
      <c r="AE59" s="73"/>
      <c r="AF59" s="73"/>
      <c r="AG59" s="72"/>
      <c r="AH59" s="72"/>
      <c r="AI59" s="72"/>
      <c r="AJ59" s="72"/>
      <c r="AK59" s="72"/>
      <c r="AL59" s="72"/>
      <c r="AM59" s="72"/>
      <c r="AN59" s="72"/>
      <c r="AO59" s="72"/>
      <c r="AP59" s="72"/>
      <c r="AQ59" s="72"/>
      <c r="AR59" s="72"/>
      <c r="AS59" s="72"/>
      <c r="AT59" s="72"/>
      <c r="AU59" s="72"/>
      <c r="AV59" s="72"/>
      <c r="AW59" s="72"/>
      <c r="AX59" s="74"/>
      <c r="AY59" s="82"/>
      <c r="AZ59" s="74"/>
      <c r="BC59" s="11" t="s">
        <v>70</v>
      </c>
    </row>
    <row r="60" s="6" customFormat="1" ht="26.4" customHeight="1" spans="1:55">
      <c r="A60" s="66" t="s">
        <v>332</v>
      </c>
      <c r="B60" s="76" t="s">
        <v>333</v>
      </c>
      <c r="C60" s="72"/>
      <c r="D60" s="72"/>
      <c r="E60" s="72"/>
      <c r="F60" s="72"/>
      <c r="G60" s="69"/>
      <c r="H60" s="72"/>
      <c r="I60" s="72"/>
      <c r="J60" s="72"/>
      <c r="K60" s="72"/>
      <c r="L60" s="72"/>
      <c r="M60" s="72"/>
      <c r="N60" s="72"/>
      <c r="O60" s="72"/>
      <c r="P60" s="72"/>
      <c r="Q60" s="72"/>
      <c r="R60" s="72"/>
      <c r="S60" s="69"/>
      <c r="T60" s="69"/>
      <c r="U60" s="72"/>
      <c r="V60" s="72"/>
      <c r="W60" s="73"/>
      <c r="X60" s="69"/>
      <c r="Y60" s="72"/>
      <c r="Z60" s="72"/>
      <c r="AA60" s="69"/>
      <c r="AB60" s="69"/>
      <c r="AC60" s="72"/>
      <c r="AD60" s="72"/>
      <c r="AE60" s="73"/>
      <c r="AF60" s="73"/>
      <c r="AG60" s="72"/>
      <c r="AH60" s="72"/>
      <c r="AI60" s="72"/>
      <c r="AJ60" s="72"/>
      <c r="AK60" s="72"/>
      <c r="AL60" s="72"/>
      <c r="AM60" s="72"/>
      <c r="AN60" s="72"/>
      <c r="AO60" s="72"/>
      <c r="AP60" s="72"/>
      <c r="AQ60" s="72"/>
      <c r="AR60" s="72"/>
      <c r="AS60" s="72"/>
      <c r="AT60" s="72"/>
      <c r="AU60" s="72"/>
      <c r="AV60" s="72"/>
      <c r="AW60" s="72"/>
      <c r="AX60" s="74"/>
      <c r="AY60" s="82"/>
      <c r="AZ60" s="74"/>
      <c r="BC60" s="11" t="s">
        <v>70</v>
      </c>
    </row>
    <row r="61" s="6" customFormat="1" ht="26.4" customHeight="1" spans="1:55">
      <c r="A61" s="66" t="s">
        <v>334</v>
      </c>
      <c r="B61" s="76" t="s">
        <v>335</v>
      </c>
      <c r="C61" s="72"/>
      <c r="D61" s="72"/>
      <c r="E61" s="72"/>
      <c r="F61" s="72"/>
      <c r="G61" s="69"/>
      <c r="H61" s="72"/>
      <c r="I61" s="72"/>
      <c r="J61" s="72"/>
      <c r="K61" s="72"/>
      <c r="L61" s="72"/>
      <c r="M61" s="72"/>
      <c r="N61" s="72"/>
      <c r="O61" s="72"/>
      <c r="P61" s="72"/>
      <c r="Q61" s="72"/>
      <c r="R61" s="72"/>
      <c r="S61" s="69"/>
      <c r="T61" s="69"/>
      <c r="U61" s="72"/>
      <c r="V61" s="72"/>
      <c r="W61" s="73"/>
      <c r="X61" s="69"/>
      <c r="Y61" s="72"/>
      <c r="Z61" s="72"/>
      <c r="AA61" s="69"/>
      <c r="AB61" s="69"/>
      <c r="AC61" s="72"/>
      <c r="AD61" s="72"/>
      <c r="AE61" s="73"/>
      <c r="AF61" s="73"/>
      <c r="AG61" s="72"/>
      <c r="AH61" s="72"/>
      <c r="AI61" s="72"/>
      <c r="AJ61" s="72"/>
      <c r="AK61" s="72"/>
      <c r="AL61" s="72"/>
      <c r="AM61" s="72"/>
      <c r="AN61" s="72"/>
      <c r="AO61" s="72"/>
      <c r="AP61" s="72"/>
      <c r="AQ61" s="72"/>
      <c r="AR61" s="72"/>
      <c r="AS61" s="72"/>
      <c r="AT61" s="72"/>
      <c r="AU61" s="72"/>
      <c r="AV61" s="72"/>
      <c r="AW61" s="72"/>
      <c r="AX61" s="74"/>
      <c r="AY61" s="82"/>
      <c r="AZ61" s="74"/>
      <c r="BC61" s="11" t="s">
        <v>70</v>
      </c>
    </row>
    <row r="62" s="6" customFormat="1" ht="26.4" customHeight="1" spans="1:55">
      <c r="A62" s="66" t="s">
        <v>336</v>
      </c>
      <c r="B62" s="76" t="s">
        <v>337</v>
      </c>
      <c r="C62" s="72"/>
      <c r="D62" s="72"/>
      <c r="E62" s="72"/>
      <c r="F62" s="72"/>
      <c r="G62" s="69"/>
      <c r="H62" s="72"/>
      <c r="I62" s="72"/>
      <c r="J62" s="72"/>
      <c r="K62" s="72"/>
      <c r="L62" s="72"/>
      <c r="M62" s="72"/>
      <c r="N62" s="72"/>
      <c r="O62" s="72"/>
      <c r="P62" s="72"/>
      <c r="Q62" s="72"/>
      <c r="R62" s="72"/>
      <c r="S62" s="69"/>
      <c r="T62" s="69"/>
      <c r="U62" s="72"/>
      <c r="V62" s="72"/>
      <c r="W62" s="73"/>
      <c r="X62" s="69"/>
      <c r="Y62" s="72"/>
      <c r="Z62" s="72"/>
      <c r="AA62" s="69"/>
      <c r="AB62" s="69"/>
      <c r="AC62" s="72"/>
      <c r="AD62" s="72"/>
      <c r="AE62" s="73"/>
      <c r="AF62" s="73"/>
      <c r="AG62" s="72"/>
      <c r="AH62" s="72"/>
      <c r="AI62" s="72"/>
      <c r="AJ62" s="72"/>
      <c r="AK62" s="72"/>
      <c r="AL62" s="72"/>
      <c r="AM62" s="72"/>
      <c r="AN62" s="72"/>
      <c r="AO62" s="72"/>
      <c r="AP62" s="72"/>
      <c r="AQ62" s="72"/>
      <c r="AR62" s="72"/>
      <c r="AS62" s="72"/>
      <c r="AT62" s="72"/>
      <c r="AU62" s="72"/>
      <c r="AV62" s="72"/>
      <c r="AW62" s="72"/>
      <c r="AX62" s="74"/>
      <c r="AY62" s="82"/>
      <c r="AZ62" s="74"/>
      <c r="BC62" s="11" t="s">
        <v>70</v>
      </c>
    </row>
    <row r="63" s="6" customFormat="1" ht="26.4" customHeight="1" spans="1:55">
      <c r="A63" s="66" t="s">
        <v>338</v>
      </c>
      <c r="B63" s="76" t="s">
        <v>339</v>
      </c>
      <c r="C63" s="72"/>
      <c r="D63" s="72"/>
      <c r="E63" s="72"/>
      <c r="F63" s="72"/>
      <c r="G63" s="69"/>
      <c r="H63" s="72"/>
      <c r="I63" s="72"/>
      <c r="J63" s="72"/>
      <c r="K63" s="72"/>
      <c r="L63" s="72"/>
      <c r="M63" s="72"/>
      <c r="N63" s="72"/>
      <c r="O63" s="72"/>
      <c r="P63" s="72"/>
      <c r="Q63" s="72"/>
      <c r="R63" s="72"/>
      <c r="S63" s="69"/>
      <c r="T63" s="69"/>
      <c r="U63" s="72"/>
      <c r="V63" s="72"/>
      <c r="W63" s="73"/>
      <c r="X63" s="69"/>
      <c r="Y63" s="72"/>
      <c r="Z63" s="72"/>
      <c r="AA63" s="69"/>
      <c r="AB63" s="69"/>
      <c r="AC63" s="72"/>
      <c r="AD63" s="72"/>
      <c r="AE63" s="73"/>
      <c r="AF63" s="73"/>
      <c r="AG63" s="72"/>
      <c r="AH63" s="72"/>
      <c r="AI63" s="72"/>
      <c r="AJ63" s="72"/>
      <c r="AK63" s="72"/>
      <c r="AL63" s="72"/>
      <c r="AM63" s="72"/>
      <c r="AN63" s="72"/>
      <c r="AO63" s="72"/>
      <c r="AP63" s="72"/>
      <c r="AQ63" s="72"/>
      <c r="AR63" s="72"/>
      <c r="AS63" s="72"/>
      <c r="AT63" s="72"/>
      <c r="AU63" s="72"/>
      <c r="AV63" s="72"/>
      <c r="AW63" s="72"/>
      <c r="AX63" s="74"/>
      <c r="AY63" s="82"/>
      <c r="AZ63" s="74"/>
      <c r="BC63" s="11" t="s">
        <v>70</v>
      </c>
    </row>
    <row r="64" s="6" customFormat="1" ht="161.25" customHeight="1" spans="1:55">
      <c r="A64" s="66" t="s">
        <v>340</v>
      </c>
      <c r="B64" s="76" t="s">
        <v>341</v>
      </c>
      <c r="C64" s="95">
        <v>1289.435078</v>
      </c>
      <c r="D64" s="95">
        <v>240.368932038835</v>
      </c>
      <c r="E64" s="95">
        <v>1529.80401003883</v>
      </c>
      <c r="F64" s="95">
        <v>2579.28286794398</v>
      </c>
      <c r="G64" s="101">
        <v>0.686021772082106</v>
      </c>
      <c r="H64" s="177" t="s">
        <v>449</v>
      </c>
      <c r="I64" s="178">
        <v>340.537765</v>
      </c>
      <c r="J64" s="178">
        <v>354.30389</v>
      </c>
      <c r="K64" s="178">
        <v>503.230932</v>
      </c>
      <c r="L64" s="178">
        <v>331.731423038835</v>
      </c>
      <c r="M64" s="178">
        <v>482.29037718017</v>
      </c>
      <c r="N64" s="178">
        <v>618.295231549102</v>
      </c>
      <c r="O64" s="178">
        <v>779.324357762694</v>
      </c>
      <c r="P64" s="178">
        <v>699.372901452014</v>
      </c>
      <c r="Q64" s="95">
        <v>0</v>
      </c>
      <c r="R64" s="95">
        <v>2579.28286794398</v>
      </c>
      <c r="S64" s="101">
        <v>0.476861753841849</v>
      </c>
      <c r="T64" s="101">
        <v>0.536818512018775</v>
      </c>
      <c r="U64" s="125" t="s">
        <v>450</v>
      </c>
      <c r="V64" s="95">
        <v>553.277471510989</v>
      </c>
      <c r="W64" s="97">
        <v>0.214508256689202</v>
      </c>
      <c r="X64" s="101">
        <v>0.290211542407618</v>
      </c>
      <c r="Y64" s="125" t="s">
        <v>451</v>
      </c>
      <c r="Z64" s="95">
        <v>381.797065458503</v>
      </c>
      <c r="AA64" s="101">
        <v>0.14802450332361</v>
      </c>
      <c r="AB64" s="101">
        <v>0.300329728504463</v>
      </c>
      <c r="AC64" s="125" t="s">
        <v>452</v>
      </c>
      <c r="AD64" s="112">
        <v>664.300413833333</v>
      </c>
      <c r="AE64" s="97">
        <v>0.257552369338562</v>
      </c>
      <c r="AF64" s="171" t="s">
        <v>453</v>
      </c>
      <c r="AG64" s="137">
        <v>-272.106209897856</v>
      </c>
      <c r="AH64" s="137">
        <v>-1070.58092462332</v>
      </c>
      <c r="AI64" s="137">
        <v>1100.76055733333</v>
      </c>
      <c r="AJ64" s="137">
        <v>132.252002333333</v>
      </c>
      <c r="AK64" s="137">
        <v>49.445028</v>
      </c>
      <c r="AL64" s="137">
        <v>191.709384</v>
      </c>
      <c r="AM64" s="137">
        <v>244.58766</v>
      </c>
      <c r="AN64" s="137">
        <v>948.804489</v>
      </c>
      <c r="AO64" s="95">
        <v>303.960409</v>
      </c>
      <c r="AP64" s="95">
        <v>128.387121</v>
      </c>
      <c r="AQ64" s="95">
        <v>322.591959</v>
      </c>
      <c r="AR64" s="137">
        <v>193.865</v>
      </c>
      <c r="AS64" s="95">
        <v>40.310316</v>
      </c>
      <c r="AT64" s="95">
        <v>-424.837515647419</v>
      </c>
      <c r="AU64" s="95">
        <v>-413.45</v>
      </c>
      <c r="AV64" s="95">
        <v>0</v>
      </c>
      <c r="AW64" s="95">
        <v>1000</v>
      </c>
      <c r="AX64" s="109" t="s">
        <v>454</v>
      </c>
      <c r="AY64" s="150" t="s">
        <v>455</v>
      </c>
      <c r="AZ64" s="109" t="s">
        <v>456</v>
      </c>
    </row>
    <row r="65" s="6" customFormat="1" ht="190.5" customHeight="1" spans="1:55">
      <c r="A65" s="66" t="s">
        <v>349</v>
      </c>
      <c r="B65" s="76" t="s">
        <v>350</v>
      </c>
      <c r="C65" s="153">
        <v>3870</v>
      </c>
      <c r="D65" s="154">
        <v>1397</v>
      </c>
      <c r="E65" s="154">
        <v>5267</v>
      </c>
      <c r="F65" s="179">
        <v>9690</v>
      </c>
      <c r="G65" s="180">
        <v>0.8397</v>
      </c>
      <c r="H65" s="181" t="s">
        <v>457</v>
      </c>
      <c r="I65" s="158">
        <v>1018</v>
      </c>
      <c r="J65" s="158">
        <v>1747</v>
      </c>
      <c r="K65" s="158">
        <v>737</v>
      </c>
      <c r="L65" s="158">
        <v>1765</v>
      </c>
      <c r="M65" s="179">
        <v>2361</v>
      </c>
      <c r="N65" s="179">
        <v>2142</v>
      </c>
      <c r="O65" s="179">
        <v>2307.63</v>
      </c>
      <c r="P65" s="179">
        <v>2878.76</v>
      </c>
      <c r="Q65" s="182">
        <v>0</v>
      </c>
      <c r="R65" s="179">
        <v>9690.28</v>
      </c>
      <c r="S65" s="180">
        <v>0.3463</v>
      </c>
      <c r="T65" s="156">
        <v>0.3863</v>
      </c>
      <c r="U65" s="183" t="s">
        <v>458</v>
      </c>
      <c r="V65" s="184">
        <v>657</v>
      </c>
      <c r="W65" s="185">
        <v>0.07</v>
      </c>
      <c r="X65" s="156">
        <v>0.1305</v>
      </c>
      <c r="Y65" s="186" t="s">
        <v>459</v>
      </c>
      <c r="Z65" s="179">
        <v>743.88</v>
      </c>
      <c r="AA65" s="180">
        <v>0.0768</v>
      </c>
      <c r="AB65" s="156">
        <v>0.1569</v>
      </c>
      <c r="AC65" s="187" t="s">
        <v>460</v>
      </c>
      <c r="AD65" s="179">
        <v>2526.4</v>
      </c>
      <c r="AE65" s="185">
        <v>0.26</v>
      </c>
      <c r="AF65" s="188" t="s">
        <v>461</v>
      </c>
      <c r="AG65" s="184">
        <v>-285</v>
      </c>
      <c r="AH65" s="189">
        <v>-670</v>
      </c>
      <c r="AI65" s="184">
        <v>2669</v>
      </c>
      <c r="AJ65" s="189">
        <v>501</v>
      </c>
      <c r="AK65" s="160">
        <v>9</v>
      </c>
      <c r="AL65" s="184">
        <v>143</v>
      </c>
      <c r="AM65" s="184">
        <v>494</v>
      </c>
      <c r="AN65" s="189">
        <v>1522</v>
      </c>
      <c r="AO65" s="190">
        <v>511</v>
      </c>
      <c r="AP65" s="190">
        <v>309</v>
      </c>
      <c r="AQ65" s="190">
        <v>441</v>
      </c>
      <c r="AR65" s="190">
        <v>260</v>
      </c>
      <c r="AS65" s="184">
        <v>0</v>
      </c>
      <c r="AT65" s="191">
        <v>995</v>
      </c>
      <c r="AU65" s="190">
        <v>12</v>
      </c>
      <c r="AV65" s="153">
        <v>0</v>
      </c>
      <c r="AW65" s="154">
        <v>0</v>
      </c>
      <c r="AX65" s="192" t="s">
        <v>89</v>
      </c>
      <c r="AY65" s="193" t="s">
        <v>462</v>
      </c>
      <c r="AZ65" s="193" t="s">
        <v>463</v>
      </c>
    </row>
    <row r="66" s="6" customFormat="1" ht="149.25" customHeight="1" spans="1:55">
      <c r="A66" s="66" t="s">
        <v>358</v>
      </c>
      <c r="B66" s="76" t="s">
        <v>359</v>
      </c>
      <c r="C66" s="72">
        <v>18005</v>
      </c>
      <c r="D66" s="72">
        <v>4648.43</v>
      </c>
      <c r="E66" s="72">
        <f t="shared" ref="E66:E70" si="29">C66+D66</f>
        <v>22653.43</v>
      </c>
      <c r="F66" s="72">
        <v>27207.83</v>
      </c>
      <c r="G66" s="69">
        <f t="shared" ref="G66:G70" si="30">(F66-E66)/E66</f>
        <v>0.201046817192805</v>
      </c>
      <c r="H66" s="78" t="s">
        <v>464</v>
      </c>
      <c r="I66" s="72">
        <v>3067.09</v>
      </c>
      <c r="J66" s="72">
        <v>4625.59</v>
      </c>
      <c r="K66" s="72">
        <v>7682.93</v>
      </c>
      <c r="L66" s="72">
        <v>7277.82</v>
      </c>
      <c r="M66" s="72">
        <v>6991.28</v>
      </c>
      <c r="N66" s="72">
        <v>5711.19</v>
      </c>
      <c r="O66" s="72">
        <v>7877.82</v>
      </c>
      <c r="P66" s="72">
        <v>6627.54</v>
      </c>
      <c r="Q66" s="72">
        <v>0</v>
      </c>
      <c r="R66" s="72">
        <f>F66</f>
        <v>27207.83</v>
      </c>
      <c r="S66" s="69">
        <v>0.29</v>
      </c>
      <c r="T66" s="69">
        <v>0.35</v>
      </c>
      <c r="U66" s="78" t="s">
        <v>465</v>
      </c>
      <c r="V66" s="72">
        <v>2830.51</v>
      </c>
      <c r="W66" s="73">
        <f t="shared" ref="W66:W70" si="31">V66/F66</f>
        <v>0.10403291993518</v>
      </c>
      <c r="X66" s="69">
        <v>0.103</v>
      </c>
      <c r="Y66" s="78" t="s">
        <v>466</v>
      </c>
      <c r="Z66" s="72">
        <v>2568.1</v>
      </c>
      <c r="AA66" s="69">
        <f t="shared" ref="AA66:AA70" si="32">Z66/F66</f>
        <v>0.0943882698473197</v>
      </c>
      <c r="AB66" s="69">
        <v>0.097</v>
      </c>
      <c r="AC66" s="78" t="s">
        <v>467</v>
      </c>
      <c r="AD66" s="72">
        <v>0</v>
      </c>
      <c r="AE66" s="73">
        <f t="shared" ref="AE66:AE70" si="33">AD66/F66</f>
        <v>0</v>
      </c>
      <c r="AF66" s="73"/>
      <c r="AG66" s="72">
        <v>3602.86</v>
      </c>
      <c r="AH66" s="72">
        <v>1570.11</v>
      </c>
      <c r="AI66" s="72">
        <f>AJ66+AK66+AL66+AM66+AN66</f>
        <v>3206</v>
      </c>
      <c r="AJ66" s="72">
        <v>56</v>
      </c>
      <c r="AK66" s="72">
        <v>0</v>
      </c>
      <c r="AL66" s="72">
        <v>0</v>
      </c>
      <c r="AM66" s="72">
        <v>277</v>
      </c>
      <c r="AN66" s="72">
        <f>AP66+AR66</f>
        <v>2873</v>
      </c>
      <c r="AO66" s="72">
        <v>0</v>
      </c>
      <c r="AP66" s="72">
        <v>1550</v>
      </c>
      <c r="AQ66" s="72">
        <v>0</v>
      </c>
      <c r="AR66" s="72">
        <v>1323</v>
      </c>
      <c r="AS66" s="72"/>
      <c r="AT66" s="72"/>
      <c r="AU66" s="72"/>
      <c r="AV66" s="72"/>
      <c r="AW66" s="72"/>
      <c r="AX66" s="109" t="s">
        <v>89</v>
      </c>
      <c r="AY66" s="92" t="s">
        <v>468</v>
      </c>
      <c r="AZ66" s="74"/>
      <c r="BC66" s="11" t="s">
        <v>70</v>
      </c>
    </row>
    <row r="67" s="6" customFormat="1" ht="26.4" customHeight="1" spans="1:55">
      <c r="A67" s="66" t="s">
        <v>366</v>
      </c>
      <c r="B67" s="76" t="s">
        <v>367</v>
      </c>
      <c r="C67" s="72"/>
      <c r="D67" s="72"/>
      <c r="E67" s="72">
        <f t="shared" si="29"/>
        <v>0</v>
      </c>
      <c r="F67" s="72"/>
      <c r="G67" s="69" t="e">
        <f t="shared" si="30"/>
        <v>#DIV/0!</v>
      </c>
      <c r="H67" s="72"/>
      <c r="I67" s="72"/>
      <c r="J67" s="72"/>
      <c r="K67" s="72"/>
      <c r="L67" s="72"/>
      <c r="M67" s="72"/>
      <c r="N67" s="72"/>
      <c r="O67" s="72"/>
      <c r="P67" s="72"/>
      <c r="Q67" s="72"/>
      <c r="R67" s="72"/>
      <c r="S67" s="69"/>
      <c r="T67" s="69"/>
      <c r="U67" s="72"/>
      <c r="V67" s="72"/>
      <c r="W67" s="73" t="e">
        <f t="shared" si="31"/>
        <v>#DIV/0!</v>
      </c>
      <c r="X67" s="69"/>
      <c r="Y67" s="72"/>
      <c r="Z67" s="72"/>
      <c r="AA67" s="69" t="e">
        <f t="shared" si="32"/>
        <v>#DIV/0!</v>
      </c>
      <c r="AB67" s="69"/>
      <c r="AC67" s="72"/>
      <c r="AD67" s="72"/>
      <c r="AE67" s="73" t="e">
        <f t="shared" si="33"/>
        <v>#DIV/0!</v>
      </c>
      <c r="AF67" s="73"/>
      <c r="AG67" s="72"/>
      <c r="AH67" s="72"/>
      <c r="AI67" s="72"/>
      <c r="AJ67" s="72"/>
      <c r="AK67" s="72"/>
      <c r="AL67" s="72"/>
      <c r="AM67" s="72"/>
      <c r="AN67" s="72"/>
      <c r="AO67" s="72"/>
      <c r="AP67" s="72"/>
      <c r="AQ67" s="72"/>
      <c r="AR67" s="72"/>
      <c r="AS67" s="72"/>
      <c r="AT67" s="72"/>
      <c r="AU67" s="72"/>
      <c r="AV67" s="72"/>
      <c r="AW67" s="72"/>
      <c r="AX67" s="74"/>
      <c r="AY67" s="82"/>
      <c r="AZ67" s="74"/>
      <c r="BC67" s="11" t="s">
        <v>70</v>
      </c>
    </row>
    <row r="68" s="6" customFormat="1" ht="117.75" customHeight="1" spans="1:55">
      <c r="A68" s="66" t="s">
        <v>368</v>
      </c>
      <c r="B68" s="76" t="s">
        <v>369</v>
      </c>
      <c r="C68" s="95">
        <v>0</v>
      </c>
      <c r="D68" s="95">
        <v>0</v>
      </c>
      <c r="E68" s="95">
        <v>0</v>
      </c>
      <c r="F68" s="95">
        <v>239.56</v>
      </c>
      <c r="G68" s="101">
        <v>1</v>
      </c>
      <c r="H68" s="78" t="s">
        <v>469</v>
      </c>
      <c r="I68" s="95">
        <v>0</v>
      </c>
      <c r="J68" s="95">
        <v>0</v>
      </c>
      <c r="K68" s="95">
        <v>0</v>
      </c>
      <c r="L68" s="95">
        <v>0</v>
      </c>
      <c r="M68" s="95">
        <v>0</v>
      </c>
      <c r="N68" s="95">
        <v>15.98</v>
      </c>
      <c r="O68" s="95">
        <v>91.45</v>
      </c>
      <c r="P68" s="95">
        <v>132.13</v>
      </c>
      <c r="Q68" s="95">
        <v>0</v>
      </c>
      <c r="R68" s="95">
        <v>239.56</v>
      </c>
      <c r="S68" s="101">
        <v>0</v>
      </c>
      <c r="T68" s="101">
        <v>0.1</v>
      </c>
      <c r="U68" s="100"/>
      <c r="V68" s="95">
        <v>110.9477694</v>
      </c>
      <c r="W68" s="97">
        <v>0.463131</v>
      </c>
      <c r="X68" s="101">
        <v>0</v>
      </c>
      <c r="Y68" s="78" t="s">
        <v>470</v>
      </c>
      <c r="Z68" s="95">
        <v>49.660825</v>
      </c>
      <c r="AA68" s="101">
        <v>0.2073</v>
      </c>
      <c r="AB68" s="101">
        <v>0</v>
      </c>
      <c r="AC68" s="194" t="s">
        <v>471</v>
      </c>
      <c r="AD68" s="95">
        <v>0</v>
      </c>
      <c r="AE68" s="97">
        <v>0</v>
      </c>
      <c r="AF68" s="102"/>
      <c r="AG68" s="95">
        <v>-141.95</v>
      </c>
      <c r="AH68" s="95">
        <v>-47.8248242225</v>
      </c>
      <c r="AI68" s="95">
        <v>84.5231244</v>
      </c>
      <c r="AJ68" s="95">
        <v>0.609336</v>
      </c>
      <c r="AK68" s="95">
        <v>0</v>
      </c>
      <c r="AL68" s="95">
        <v>0</v>
      </c>
      <c r="AM68" s="95">
        <v>28.319616</v>
      </c>
      <c r="AN68" s="95">
        <v>68.83</v>
      </c>
      <c r="AO68" s="95">
        <v>0</v>
      </c>
      <c r="AP68" s="95">
        <v>56.95</v>
      </c>
      <c r="AQ68" s="95">
        <v>0</v>
      </c>
      <c r="AR68" s="95">
        <v>11.88</v>
      </c>
      <c r="AS68" s="95">
        <v>0</v>
      </c>
      <c r="AT68" s="95">
        <v>-219.98</v>
      </c>
      <c r="AU68" s="95">
        <v>0</v>
      </c>
      <c r="AV68" s="95">
        <v>200</v>
      </c>
      <c r="AW68" s="95">
        <v>200</v>
      </c>
      <c r="AX68" s="92" t="s">
        <v>472</v>
      </c>
      <c r="AY68" s="92" t="s">
        <v>473</v>
      </c>
      <c r="AZ68" s="175"/>
      <c r="BC68" s="11" t="s">
        <v>70</v>
      </c>
    </row>
    <row r="69" s="6" customFormat="1" ht="26.4" customHeight="1" spans="1:55">
      <c r="A69" s="66" t="s">
        <v>375</v>
      </c>
      <c r="B69" s="76" t="s">
        <v>376</v>
      </c>
      <c r="C69" s="72"/>
      <c r="D69" s="72"/>
      <c r="E69" s="72">
        <f t="shared" si="29"/>
        <v>0</v>
      </c>
      <c r="F69" s="72"/>
      <c r="G69" s="69" t="e">
        <f t="shared" si="30"/>
        <v>#DIV/0!</v>
      </c>
      <c r="H69" s="72"/>
      <c r="I69" s="72"/>
      <c r="J69" s="72"/>
      <c r="K69" s="72"/>
      <c r="L69" s="72"/>
      <c r="M69" s="72"/>
      <c r="N69" s="72"/>
      <c r="O69" s="72"/>
      <c r="P69" s="72"/>
      <c r="Q69" s="72"/>
      <c r="R69" s="72"/>
      <c r="S69" s="69"/>
      <c r="T69" s="69"/>
      <c r="U69" s="72"/>
      <c r="V69" s="72"/>
      <c r="W69" s="73" t="e">
        <f t="shared" si="31"/>
        <v>#DIV/0!</v>
      </c>
      <c r="X69" s="69"/>
      <c r="Y69" s="72"/>
      <c r="Z69" s="72"/>
      <c r="AA69" s="69" t="e">
        <f t="shared" si="32"/>
        <v>#DIV/0!</v>
      </c>
      <c r="AB69" s="69"/>
      <c r="AC69" s="72"/>
      <c r="AD69" s="72"/>
      <c r="AE69" s="73" t="e">
        <f t="shared" si="33"/>
        <v>#DIV/0!</v>
      </c>
      <c r="AF69" s="73"/>
      <c r="AG69" s="72"/>
      <c r="AH69" s="72"/>
      <c r="AI69" s="72"/>
      <c r="AJ69" s="72"/>
      <c r="AK69" s="72"/>
      <c r="AL69" s="72"/>
      <c r="AM69" s="72"/>
      <c r="AN69" s="72"/>
      <c r="AO69" s="72"/>
      <c r="AP69" s="72"/>
      <c r="AQ69" s="72"/>
      <c r="AR69" s="72"/>
      <c r="AS69" s="72"/>
      <c r="AT69" s="72"/>
      <c r="AU69" s="72"/>
      <c r="AV69" s="72"/>
      <c r="AW69" s="72"/>
      <c r="AX69" s="74"/>
      <c r="AY69" s="82"/>
      <c r="AZ69" s="74"/>
      <c r="BC69" s="11" t="s">
        <v>70</v>
      </c>
    </row>
    <row r="70" s="6" customFormat="1" ht="17.25" spans="1:55">
      <c r="A70" s="66" t="s">
        <v>377</v>
      </c>
      <c r="B70" s="76" t="s">
        <v>378</v>
      </c>
      <c r="C70" s="72"/>
      <c r="D70" s="195"/>
      <c r="E70" s="195">
        <f t="shared" si="29"/>
        <v>0</v>
      </c>
      <c r="F70" s="195"/>
      <c r="G70" s="196" t="e">
        <f t="shared" si="30"/>
        <v>#DIV/0!</v>
      </c>
      <c r="H70" s="195"/>
      <c r="I70" s="195"/>
      <c r="J70" s="195"/>
      <c r="K70" s="195"/>
      <c r="L70" s="195"/>
      <c r="M70" s="195"/>
      <c r="N70" s="195"/>
      <c r="O70" s="195"/>
      <c r="P70" s="195"/>
      <c r="Q70" s="195"/>
      <c r="R70" s="195"/>
      <c r="S70" s="196"/>
      <c r="T70" s="196"/>
      <c r="U70" s="195"/>
      <c r="V70" s="195"/>
      <c r="W70" s="197" t="e">
        <f t="shared" si="31"/>
        <v>#DIV/0!</v>
      </c>
      <c r="X70" s="196"/>
      <c r="Y70" s="195"/>
      <c r="Z70" s="195"/>
      <c r="AA70" s="196" t="e">
        <f t="shared" si="32"/>
        <v>#DIV/0!</v>
      </c>
      <c r="AB70" s="196"/>
      <c r="AC70" s="195"/>
      <c r="AD70" s="195"/>
      <c r="AE70" s="197" t="e">
        <f t="shared" si="33"/>
        <v>#DIV/0!</v>
      </c>
      <c r="AF70" s="197"/>
      <c r="AG70" s="195"/>
      <c r="AH70" s="195"/>
      <c r="AI70" s="195"/>
      <c r="AJ70" s="195"/>
      <c r="AK70" s="195"/>
      <c r="AL70" s="195"/>
      <c r="AM70" s="195"/>
      <c r="AN70" s="195"/>
      <c r="AO70" s="195"/>
      <c r="AP70" s="195"/>
      <c r="AQ70" s="195"/>
      <c r="AR70" s="195"/>
      <c r="AS70" s="195"/>
      <c r="AT70" s="195"/>
      <c r="AU70" s="195"/>
      <c r="AV70" s="195"/>
      <c r="AW70" s="195"/>
      <c r="AX70" s="198"/>
      <c r="AY70" s="82"/>
      <c r="AZ70" s="74"/>
      <c r="BC70" s="11" t="s">
        <v>70</v>
      </c>
    </row>
    <row r="71" ht="15.75" spans="1:55">
      <c r="A71" s="199" t="s">
        <v>379</v>
      </c>
      <c r="B71" s="200">
        <v>1</v>
      </c>
      <c r="C71" s="201"/>
      <c r="D71" s="201"/>
      <c r="E71" s="202"/>
      <c r="F71" s="202"/>
      <c r="G71" s="203"/>
      <c r="H71" s="204"/>
      <c r="I71" s="204"/>
      <c r="J71" s="204"/>
      <c r="K71" s="204"/>
      <c r="L71" s="204"/>
      <c r="M71" s="202"/>
      <c r="N71" s="202"/>
      <c r="O71" s="202"/>
      <c r="P71" s="202"/>
      <c r="Q71" s="205"/>
      <c r="R71" s="205"/>
      <c r="S71" s="203"/>
      <c r="T71" s="203"/>
      <c r="U71" s="204"/>
      <c r="V71" s="202"/>
      <c r="W71" s="203"/>
      <c r="X71" s="203"/>
      <c r="Y71" s="204"/>
      <c r="Z71" s="202"/>
      <c r="AA71" s="203"/>
      <c r="AB71" s="203"/>
      <c r="AC71" s="204"/>
      <c r="AD71" s="202"/>
      <c r="AE71" s="202"/>
      <c r="AF71" s="202"/>
      <c r="AG71" s="202"/>
      <c r="AH71" s="203"/>
      <c r="AI71" s="204"/>
      <c r="AJ71" s="204"/>
      <c r="AK71" s="204"/>
      <c r="AL71" s="204"/>
      <c r="AM71" s="204"/>
      <c r="AN71" s="204"/>
      <c r="AO71" s="204"/>
      <c r="AP71" s="204"/>
      <c r="AQ71" s="204"/>
      <c r="AR71" s="204"/>
      <c r="AS71" s="204"/>
      <c r="AT71" s="202"/>
      <c r="AU71" s="203"/>
      <c r="AV71" s="204"/>
      <c r="AW71" s="206"/>
      <c r="AX71" s="204"/>
      <c r="AY71" s="204"/>
      <c r="AZ71" s="204"/>
      <c r="BA71" s="207"/>
    </row>
    <row r="72" ht="15.75" spans="1:55">
      <c r="A72" s="199" t="s">
        <v>380</v>
      </c>
      <c r="B72" s="200">
        <v>1</v>
      </c>
      <c r="C72" s="201"/>
      <c r="D72" s="201"/>
      <c r="E72" s="202"/>
      <c r="F72" s="202"/>
      <c r="G72" s="203"/>
      <c r="H72" s="204"/>
      <c r="I72" s="204"/>
      <c r="J72" s="204"/>
      <c r="K72" s="204"/>
      <c r="L72" s="204"/>
      <c r="M72" s="202"/>
      <c r="N72" s="202"/>
      <c r="O72" s="202"/>
      <c r="P72" s="202"/>
      <c r="Q72" s="205"/>
      <c r="R72" s="205"/>
      <c r="S72" s="203"/>
      <c r="T72" s="203"/>
      <c r="U72" s="204"/>
      <c r="V72" s="202"/>
      <c r="W72" s="203"/>
      <c r="X72" s="203"/>
      <c r="Y72" s="204"/>
      <c r="Z72" s="202"/>
      <c r="AA72" s="203"/>
      <c r="AB72" s="203"/>
      <c r="AC72" s="204"/>
      <c r="AD72" s="202"/>
      <c r="AE72" s="202"/>
      <c r="AF72" s="202"/>
      <c r="AG72" s="202"/>
      <c r="AH72" s="203"/>
      <c r="AI72" s="204"/>
      <c r="AJ72" s="204"/>
      <c r="AK72" s="204"/>
      <c r="AL72" s="204"/>
      <c r="AM72" s="204"/>
      <c r="AN72" s="204"/>
      <c r="AO72" s="204"/>
      <c r="AP72" s="204"/>
      <c r="AQ72" s="204"/>
      <c r="AR72" s="204"/>
      <c r="AS72" s="204"/>
      <c r="AT72" s="202"/>
      <c r="AU72" s="203"/>
      <c r="AV72" s="204"/>
      <c r="AW72" s="206"/>
      <c r="AX72" s="204"/>
      <c r="AY72" s="204"/>
      <c r="AZ72" s="204"/>
      <c r="BA72" s="207"/>
    </row>
    <row r="73" ht="15.75" spans="1:55">
      <c r="A73" s="199" t="s">
        <v>381</v>
      </c>
      <c r="B73" s="200">
        <v>1</v>
      </c>
      <c r="C73" s="201"/>
      <c r="D73" s="201"/>
      <c r="E73" s="202"/>
      <c r="F73" s="202"/>
      <c r="G73" s="203"/>
      <c r="H73" s="204"/>
      <c r="I73" s="204"/>
      <c r="J73" s="204"/>
      <c r="K73" s="204"/>
      <c r="L73" s="204"/>
      <c r="M73" s="202"/>
      <c r="N73" s="202"/>
      <c r="O73" s="202"/>
      <c r="P73" s="202"/>
      <c r="Q73" s="205"/>
      <c r="R73" s="205"/>
      <c r="S73" s="203"/>
      <c r="T73" s="203"/>
      <c r="U73" s="204"/>
      <c r="V73" s="202"/>
      <c r="W73" s="203"/>
      <c r="X73" s="203"/>
      <c r="Y73" s="204"/>
      <c r="Z73" s="202"/>
      <c r="AA73" s="203"/>
      <c r="AB73" s="203"/>
      <c r="AC73" s="204"/>
      <c r="AD73" s="202"/>
      <c r="AE73" s="202"/>
      <c r="AF73" s="202"/>
      <c r="AG73" s="202"/>
      <c r="AH73" s="203"/>
      <c r="AI73" s="204"/>
      <c r="AJ73" s="204"/>
      <c r="AK73" s="204"/>
      <c r="AL73" s="204"/>
      <c r="AM73" s="204"/>
      <c r="AN73" s="204"/>
      <c r="AO73" s="204"/>
      <c r="AP73" s="204"/>
      <c r="AQ73" s="204"/>
      <c r="AR73" s="204"/>
      <c r="AS73" s="204"/>
      <c r="AT73" s="202"/>
      <c r="AU73" s="203"/>
      <c r="AV73" s="204"/>
      <c r="AW73" s="206"/>
      <c r="AX73" s="204"/>
      <c r="AY73" s="204"/>
      <c r="AZ73" s="204"/>
      <c r="BA73" s="207"/>
    </row>
    <row r="74" ht="15.75" spans="1:55">
      <c r="A74" s="199"/>
      <c r="B74" s="199" t="s">
        <v>382</v>
      </c>
      <c r="C74" s="199"/>
      <c r="D74" s="199"/>
      <c r="E74" s="208"/>
      <c r="F74" s="208"/>
      <c r="G74" s="203"/>
      <c r="H74" s="204"/>
      <c r="I74" s="204"/>
      <c r="J74" s="204"/>
      <c r="K74" s="204"/>
      <c r="L74" s="204"/>
      <c r="M74" s="208"/>
      <c r="N74" s="208"/>
      <c r="O74" s="208"/>
      <c r="P74" s="208"/>
      <c r="Q74" s="205"/>
      <c r="R74" s="205"/>
      <c r="S74" s="203"/>
      <c r="T74" s="203"/>
      <c r="U74" s="204"/>
      <c r="V74" s="208"/>
      <c r="W74" s="203"/>
      <c r="X74" s="203"/>
      <c r="Y74" s="204"/>
      <c r="Z74" s="208"/>
      <c r="AA74" s="203"/>
      <c r="AB74" s="203"/>
      <c r="AC74" s="204"/>
      <c r="AD74" s="209"/>
      <c r="AE74" s="208"/>
      <c r="AF74" s="208"/>
      <c r="AG74" s="208"/>
      <c r="AH74" s="203"/>
      <c r="AI74" s="204"/>
      <c r="AJ74" s="204"/>
      <c r="AK74" s="204"/>
      <c r="AL74" s="204"/>
      <c r="AM74" s="204"/>
      <c r="AN74" s="204"/>
      <c r="AO74" s="204"/>
      <c r="AP74" s="204"/>
      <c r="AQ74" s="204"/>
      <c r="AR74" s="204"/>
      <c r="AS74" s="204"/>
      <c r="AT74" s="208"/>
      <c r="AU74" s="203"/>
      <c r="AV74" s="204"/>
      <c r="AW74" s="206"/>
      <c r="AX74" s="204"/>
      <c r="AY74" s="204"/>
      <c r="AZ74" s="204"/>
      <c r="BA74" s="207"/>
    </row>
    <row r="75" ht="15.75"/>
    <row r="76" ht="16.5" spans="1:55">
      <c r="A76" s="210"/>
      <c r="B76" s="210"/>
      <c r="C76" s="210"/>
    </row>
    <row r="77" ht="15.75"/>
  </sheetData>
  <sheetProtection formatCells="0" formatColumns="0" formatRows="0" insertRows="0" insertColumns="0" insertHyperlinks="0" deleteColumns="0" deleteRows="0" sort="0" autoFilter="0" pivotTables="0"/>
  <mergeCells count="18">
    <mergeCell ref="A1:BA1"/>
    <mergeCell ref="I12:L12"/>
    <mergeCell ref="M12:P12"/>
    <mergeCell ref="Q12:R12"/>
    <mergeCell ref="S12:U12"/>
    <mergeCell ref="V12:AE12"/>
    <mergeCell ref="AG12:AH12"/>
    <mergeCell ref="AI12:AS12"/>
    <mergeCell ref="AT12:AX12"/>
    <mergeCell ref="A76:C76"/>
    <mergeCell ref="A12:A13"/>
    <mergeCell ref="B12:B13"/>
    <mergeCell ref="C12:C13"/>
    <mergeCell ref="D12:D13"/>
    <mergeCell ref="E12:E13"/>
    <mergeCell ref="F12:F13"/>
    <mergeCell ref="G12:G13"/>
    <mergeCell ref="H12:H13"/>
  </mergeCells>
  <printOptions horizontalCentered="1"/>
  <pageMargins left="0.236111111111111" right="0.275" top="0.236111111111111" bottom="0.118055555555556" header="0.156944444444444" footer="0.0784722222222222"/>
  <pageSetup paperSize="9" scale="43" fitToHeight="0" orientation="landscape"/>
  <headerFooter>
    <oddFooter>&amp;C第 &amp;P 页，共 &amp;N 页</oddFooter>
  </headerFooter>
  <colBreaks count="2" manualBreakCount="2">
    <brk id="21" max="69" man="1"/>
    <brk id="32" max="69" man="1"/>
  </col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workbookViewId="0">
      <selection activeCell="A1" sqref="A1"/>
    </sheetView>
  </sheetViews>
  <sheetFormatPr defaultColWidth="9" defaultRowHeight="15.75"/>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xmlns:r="http://schemas.openxmlformats.org/officeDocument/2006/relationships">
  <commentList sheetStid="1">
    <commentChains s:ref="S21" rgbClr="FF0000">
      <unresolved>
        <commentChain chainId="648321ff556c5838d2ab995c73caff24808474a9">
          <item id="1873b51bee684440909b21642653feae1c8e4e13" userID="544810413" userName="柴欢" dateTime="2025-12-29T08:38:36" isNormal="0">
            <s:text>
              <s:r>
                <s:t xml:space="preserve">对母公司的研发收入8400万元</s:t>
              </s:r>
            </s:text>
          </item>
        </commentChain>
      </unresolved>
      <resolved/>
    </commentChains>
    <commentChains s:ref="AI21" rgbClr="FF0000">
      <unresolved>
        <commentChain chainId="b27748bb92e64deab07081d0f8f2b8cb8765f6c8">
          <item id="0780110847c28e3bec1b5cc95254913f0aec02d5" userID="544810413" userName="柴欢" dateTime="2025-12-29T01:29:33" isNormal="0">
            <s:text>
              <s:r>
                <s:t xml:space="preserve">1.01+1.42+1.43+1.44</s:t>
              </s:r>
            </s:text>
          </item>
        </commentChain>
      </unresolved>
      <resolved/>
    </commentChains>
  </commentList>
</comments>
</file>

<file path=customXml/item2.xml><?xml version="1.0" encoding="utf-8"?>
<autofilters xmlns="https://web.wps.cn/et/2018/main">
  <sheetItem sheetStid="1">
    <filterData filterID="743430349"/>
    <filterData filterID="383945946">
      <hiddenRange rowFrom="37" rowTo="37"/>
      <hiddenRange rowFrom="47" rowTo="47"/>
      <hiddenRange rowFrom="57" rowTo="62"/>
      <hiddenRange rowFrom="66" rowTo="66"/>
      <hiddenRange rowFrom="68" rowTo="69"/>
    </filterData>
    <filterData filterID="448222312"/>
  </sheetItem>
</autofilters>
</file>

<file path=customXml/item3.xml><?xml version="1.0" encoding="utf-8"?>
<woProps xmlns="https://web.wps.cn/et/2018/main" xmlns:s="http://schemas.openxmlformats.org/spreadsheetml/2006/main">
  <woSheetsProps>
    <woSheetProps sheetStid="1" interlineOnOff="0" interlineColor="0" isDbSheet="0" isDashBoardSheet="0" isDbDashBoardSheet="0" isFlexPaperSheet="0">
      <hyperlinks>
        <hyperlink ref="BC27">
          <hypersublink pos="0" length="19" display="📄杭州万子健各板块销售明细2025年" address="kw:annex?aType=et&amp;oId=RKUGV7RDAAAAY&amp;fileName=%E6%9D%AD%E5%B7%9E%E4%B8%87%E5%AD%90%E5%81%A5%E5%90%84%E6%9D%BF%E5%9D%97%E9%94%80%E5%94%AE%E6%98%8E%E7%BB%862025%E5%B9%B4.xlsx&amp;fileSize=907227" subaddress="" screenTip="" linkrunstype="LRTMention"/>
        </hyperlink>
      </hyperlinks>
      <cellprotection/>
      <appEtDbRelations/>
    </woSheetProps>
    <woSheetProps sheetStid="4" interlineOnOff="0" interlineColor="0" isDbSheet="0" isDashBoardSheet="0" isDbDashBoardSheet="0" isFlexPaperSheet="0">
      <hyperlinks>
        <hyperlink ref="BB27">
          <hypersublink pos="0" length="19" display="📄杭州万子健各板块销售明细2025年" address="kw:annex?aType=et&amp;oId=RKUGV7RDAAAAY&amp;fileName=%E6%9D%AD%E5%B7%9E%E4%B8%87%E5%AD%90%E5%81%A5%E5%90%84%E6%9D%BF%E5%9D%97%E9%94%80%E5%94%AE%E6%98%8E%E7%BB%862025%E5%B9%B4.xlsx&amp;fileSize=907227" subaddress="" screenTip="" linkrunstype="LRTMention"/>
        </hyperlink>
      </hyperlinks>
      <cellprotection/>
      <appEtDbRelations/>
    </woSheetProps>
  </woSheetsProps>
  <woBookProps>
    <bookSettings fileId="468742363525" isFilterShared="0" woEtMtcEnabled="0" coreConquerUserId="" isAutoUpdatePaused="0" filterType="user" isMergeTasksAutoUpdate="0" isInserPicAsAttachment="0" supportDbFmlaDisp="0"/>
  </woBookProps>
</woProps>
</file>

<file path=customXml/item4.xml><?xml version="1.0" encoding="utf-8"?>
<pixelators xmlns="https://web.wps.cn/et/2018/main" xmlns:s="http://schemas.openxmlformats.org/spreadsheetml/2006/main">
  <pixelatorList sheetStid="1"/>
  <pixelatorList sheetStid="4"/>
  <pixelatorList sheetStid="3"/>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WWO_wpscloud_20251224173010-b51a25e58c</Application>
  <HeadingPairs>
    <vt:vector size="2" baseType="variant">
      <vt:variant>
        <vt:lpstr>工作表</vt:lpstr>
      </vt:variant>
      <vt:variant>
        <vt:i4>2</vt:i4>
      </vt:variant>
    </vt:vector>
  </HeadingPairs>
  <TitlesOfParts>
    <vt:vector size="2" baseType="lpstr">
      <vt:lpstr>预算小结</vt:lpstr>
      <vt:lpstr>预算小结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shenhangfei</dc:creator>
  <cp:lastModifiedBy>媛</cp:lastModifiedBy>
  <dcterms:created xsi:type="dcterms:W3CDTF">2025-11-25T06:55:00Z</dcterms:created>
  <dcterms:modified xsi:type="dcterms:W3CDTF">2025-12-30T09:28:00Z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2052-12.9.0.24678</vt:lpwstr>
  </property>
  <property fmtid="{D5CDD505-2E9C-101B-9397-08002B2CF9AE}" pid="3" name="CalculationRule">
    <vt:i4>0</vt:i4>
  </property>
  <property fmtid="{D5CDD505-2E9C-101B-9397-08002B2CF9AE}" pid="4" name="ICV">
    <vt:lpwstr>E699C93D0760462DAF2EABB9DFA3ED49_12</vt:lpwstr>
  </property>
</Properties>
</file>